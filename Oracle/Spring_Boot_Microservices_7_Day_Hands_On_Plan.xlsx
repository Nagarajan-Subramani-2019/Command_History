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13a73155a94e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7 Day Plan" sheetId="1" r:id="Re819d5abee0d41f3"/>
    <x:sheet xmlns:r="http://schemas.openxmlformats.org/officeDocument/2006/relationships" name="Hands-on Tasks" sheetId="2" r:id="R8b21cc6884414cf1"/>
    <x:sheet xmlns:r="http://schemas.openxmlformats.org/officeDocument/2006/relationships" name="Service Contracts" sheetId="3" r:id="R188ec61e1dce4a90"/>
    <x:sheet xmlns:r="http://schemas.openxmlformats.org/officeDocument/2006/relationships" name="Deploy and Test" sheetId="4" r:id="R2e4671112db340de"/>
    <x:sheet xmlns:r="http://schemas.openxmlformats.org/officeDocument/2006/relationships" name="Learning Resources" sheetId="5" r:id="Rd7b7bdca3fd543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%"/>
    <x:numFmt numFmtId="201" formatCode="0.0"/>
    <x:numFmt numFmtId="202" formatCode="0.00"/>
    <x:numFmt numFmtId="203" formatCode="0"/>
  </x:numFmts>
  <x:fonts count="7">
    <x:font>
      <x:sz val="11"/>
      <x:name val="Carlito"/>
    </x:font>
    <x:font>
      <x:sz val="11"/>
      <x:color rgb="FF172B4D"/>
      <x:name val="Arial"/>
    </x:font>
    <x:font>
      <x:b/>
      <x:sz val="17"/>
      <x:color rgb="FF172B4D"/>
      <x:name val="Arial"/>
    </x:font>
    <x:font>
      <x:i/>
      <x:sz val="11"/>
      <x:color rgb="FF526175"/>
      <x:name val="Arial"/>
    </x:font>
    <x:font>
      <x:b/>
      <x:sz val="11"/>
      <x:color rgb="FFFFFFFF"/>
      <x:name val="Arial"/>
    </x:font>
    <x:font>
      <x:b/>
      <x:sz val="11"/>
      <x:color rgb="FF172B4D"/>
      <x:name val="Arial"/>
    </x:font>
    <x:font>
      <x:sz val="11"/>
      <x:color rgb="FF175AB5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43B5A"/>
      </x:patternFill>
    </x:fill>
    <x:fill>
      <x:patternFill patternType="solid">
        <x:fgColor rgb="FFF2F5F9"/>
      </x:patternFill>
    </x:fill>
    <x:fill>
      <x:patternFill patternType="solid">
        <x:fgColor rgb="FFFFF2CC"/>
      </x:patternFill>
    </x:fill>
  </x:fills>
  <x:borders count="2">
    <x:border/>
    <x:border>
      <x:bottom style="thin">
        <x:color rgb="FF9DAFC2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202" fontId="1" fillId="0" borderId="0" xfId="0" applyNumberFormat="1" applyFont="1" applyFill="1" applyBorder="1" applyAlignment="1">
      <x:alignment vertical="top" wrapText="1"/>
    </x:xf>
    <x:xf numFmtId="202" fontId="1" fillId="3" borderId="0" xfId="0" applyNumberFormat="1" applyFont="1" applyFill="1" applyBorder="1" applyAlignment="1">
      <x:alignment vertical="top" wrapText="1"/>
    </x:xf>
    <x:xf numFmtId="203" fontId="1" fillId="0" borderId="0" xfId="0" applyNumberFormat="1" applyFont="1" applyFill="1" applyBorder="1" applyAlignment="1">
      <x:alignment vertical="top" wrapText="1"/>
    </x:xf>
    <x:xf numFmtId="203" fontId="1" fillId="3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top" wrapText="1"/>
    </x:xf>
    <x:xf numFmtId="202" fontId="1" fillId="4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 wrapText="1"/>
    </x:xf>
    <x:xf numFmtId="0" fontId="6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9C2525"/>
      </x:font>
      <x:fill>
        <x:patternFill patternType="solid">
          <x:bgColor rgb="FFFDE9E7"/>
        </x:patternFill>
      </x:fill>
    </x:dxf>
    <x:dxf>
      <x:font>
        <x:color rgb="FF9C2525"/>
      </x:font>
      <x:fill>
        <x:patternFill patternType="solid">
          <x:bgColor rgb="FFFDE9E7"/>
        </x:patternFill>
      </x:fill>
    </x:dxf>
    <x:dxf>
      <x:font>
        <x:b/>
        <x:color rgb="FF9C2525"/>
      </x:font>
      <x:fill>
        <x:patternFill patternType="solid">
          <x:bgColor rgb="FFFDE9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12d0657f604801" /><Relationship Type="http://schemas.openxmlformats.org/officeDocument/2006/relationships/theme" Target="/xl/theme/theme1.xml" Id="R7bd04e521756490e" /><Relationship Type="http://schemas.openxmlformats.org/officeDocument/2006/relationships/sharedStrings" Target="/xl/sharedStrings.xml" Id="R744a288ecb5141bb" /><Relationship Type="http://schemas.openxmlformats.org/officeDocument/2006/relationships/worksheet" Target="/xl/worksheets/sheet1.xml" Id="Re819d5abee0d41f3" /><Relationship Type="http://schemas.openxmlformats.org/officeDocument/2006/relationships/worksheet" Target="/xl/worksheets/sheet2.xml" Id="R8b21cc6884414cf1" /><Relationship Type="http://schemas.openxmlformats.org/officeDocument/2006/relationships/worksheet" Target="/xl/worksheets/sheet3.xml" Id="R188ec61e1dce4a90" /><Relationship Type="http://schemas.openxmlformats.org/officeDocument/2006/relationships/worksheet" Target="/xl/worksheets/sheet4.xml" Id="R2e4671112db340de" /><Relationship Type="http://schemas.openxmlformats.org/officeDocument/2006/relationships/worksheet" Target="/xl/worksheets/sheet5.xml" Id="Rd7b7bdca3fd5435e" /></Relationships>
</file>

<file path=xl/tables/table1.xml><?xml version="1.0" encoding="utf-8"?>
<x:table xmlns:x="http://schemas.openxmlformats.org/spreadsheetml/2006/main" id="1" name="PracticeTasks" displayName="PracticeTasks" ref="A6:J48" headerRowCount="1" totalsRowCount="0" totalsRowShown="0">
  <x:tableColumns count="10">
    <x:tableColumn id="1" name="Task ID"/>
    <x:tableColumn id="2" name="Day"/>
    <x:tableColumn id="3" name="Block"/>
    <x:tableColumn id="4" name="Practical requirement"/>
    <x:tableColumn id="5" name="Acceptance check"/>
    <x:tableColumn id="6" name="Planned h"/>
    <x:tableColumn id="7" name="Status"/>
    <x:tableColumn id="8" name="Evidence / notes"/>
    <x:tableColumn id="9" name="Actual h"/>
    <x:tableColumn id="10" name="Comple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erviceRequirements" displayName="ServiceRequirements" ref="A6:E34" headerRowCount="1" totalsRowCount="0" totalsRowShown="0">
  <x:tableColumns count="5">
    <x:tableColumn id="1" name="ID"/>
    <x:tableColumn id="2" name="Area"/>
    <x:tableColumn id="3" name="Requirement"/>
    <x:tableColumn id="4" name="Expected behaviour / boundary"/>
    <x:tableColumn id="5" name="Re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eploymentSteps" displayName="DeploymentSteps" ref="A6:E31" headerRowCount="1" totalsRowCount="0" totalsRowShown="0">
  <x:tableColumns count="5">
    <x:tableColumn id="1" name="ID"/>
    <x:tableColumn id="2" name="Action"/>
    <x:tableColumn id="3" name="Where / prerequisite"/>
    <x:tableColumn id="4" name="Command or scenario"/>
    <x:tableColumn id="5" name="Expected result / safety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earningLibrary" displayName="LearningLibrary" ref="A6:G29" headerRowCount="1" totalsRowCount="0" totalsRowShown="0">
  <x:tableColumns count="7">
    <x:tableColumn id="1" name="ID"/>
    <x:tableColumn id="2" name="Days"/>
    <x:tableColumn id="3" name="Format"/>
    <x:tableColumn id="4" name="Resource"/>
    <x:tableColumn id="5" name="Assigned reading / lesson focus"/>
    <x:tableColumn id="6" name="Resource URL (copy into browser)"/>
    <x:tableColumn id="7" name="Version and access 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99854ab1a984d4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d358777dc5d499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1bd369dd11c4ae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a318b32c4114b7b" /></Relationships>
</file>

<file path=xl/worksheets/sheet1.xml><?xml version="1.0" encoding="utf-8"?>
<x:worksheet xmlns:x="http://schemas.openxmlformats.org/spreadsheetml/2006/main">
  <x:sheetPr>
    <x:tabColor rgb="FF243B5A"/>
  </x:sheetPr>
  <x:sheetViews>
    <x:sheetView showGridLines="0" workbookViewId="0"/>
  </x:sheetViews>
  <x:sheetFormatPr defaultRowHeight="15"/>
  <x:cols>
    <x:col min="1" max="1" width="7.25" hidden="0" customWidth="1"/>
    <x:col min="2" max="2" width="27.5" hidden="0" customWidth="1"/>
    <x:col min="3" max="3" width="30.5" hidden="0" customWidth="1"/>
    <x:col min="4" max="4" width="50" hidden="0" customWidth="1"/>
    <x:col min="5" max="5" width="10.380000114440918" hidden="0" customWidth="1"/>
    <x:col min="6" max="6" width="10.380000114440918" hidden="0" customWidth="1"/>
    <x:col min="7" max="7" width="10" hidden="0" customWidth="1"/>
    <x:col min="8" max="8" width="10.630000114440918" hidden="0" customWidth="1"/>
    <x:col min="9" max="9" width="16.8799991607666" hidden="0" customWidth="1"/>
    <x:col min="10" max="10" width="18.75" hidden="0" customWidth="1"/>
  </x:cols>
  <x:sheetData>
    <x:row r="1" ht="9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8" customHeight="1">
      <x:c r="A2" s="3" t="str">
        <x:v>Spring Boot Microservices — 7 Day Practice Plan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8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</x:row>
    <x:row r="4" ht="22" customHeight="1">
      <x:c r="A4" s="2" t="str">
        <x:v>56 hours: 8 hours per day. Local project: product-service, order-service and router-api.</x:v>
      </x:c>
      <x:c r="B4" s="2"/>
      <x:c r="C4" s="2"/>
      <x:c r="D4" s="2"/>
      <x:c r="E4" s="2"/>
      <x:c r="F4" s="2"/>
      <x:c r="G4" s="2"/>
      <x:c r="H4" s="2"/>
      <x:c r="I4" s="2"/>
      <x:c r="J4" s="2"/>
    </x:row>
    <x:row r="5">
      <x:c r="A5" s="5" t="str">
        <x:v>Seven days builds practical familiarity; repeat the failure labs to develop deeper proficiency.</x:v>
      </x:c>
      <x:c r="B5" s="2"/>
      <x:c r="C5" s="2"/>
      <x:c r="D5" s="2"/>
      <x:c r="E5" s="2"/>
      <x:c r="F5" s="2"/>
      <x:c r="G5" s="2"/>
      <x:c r="H5" s="2"/>
      <x:c r="I5" s="2"/>
      <x:c r="J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</x:row>
    <x:row r="7" ht="36" customHeight="1">
      <x:c r="A7" s="6" t="str">
        <x:v>Planned hours</x:v>
      </x:c>
      <x:c r="B7" s="8" t="n">
        <x:f>SUM('Hands-on Tasks'!F7:F48)</x:f>
        <x:v>56</x:v>
      </x:c>
      <x:c r="C7" s="6" t="str">
        <x:v>Completed hours</x:v>
      </x:c>
      <x:c r="D7" s="8" t="n">
        <x:f>SUMIFS('Hands-on Tasks'!F7:F48,'Hands-on Tasks'!J7:J48,"Complete")</x:f>
        <x:v>0</x:v>
      </x:c>
      <x:c r="E7" s="6" t="str">
        <x:v>Progress</x:v>
      </x:c>
      <x:c r="F7" s="7" t="n">
        <x:f>IF(B7=0,0,D7/B7)</x:f>
        <x:v>0</x:v>
      </x:c>
      <x:c r="G7" s="6" t="str">
        <x:v>Blocked tasks</x:v>
      </x:c>
      <x:c r="H7" s="6" t="n">
        <x:f>COUNTIFS('Hands-on Tasks'!G7:G48,"Blocked")</x:f>
        <x:v>0</x:v>
      </x:c>
      <x:c r="I7" s="2"/>
      <x:c r="J7" s="2"/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</x:row>
    <x:row r="9" ht="35" customHeight="1">
      <x:c r="A9" s="12" t="str">
        <x:v>Day</x:v>
      </x:c>
      <x:c r="B9" s="12" t="str">
        <x:v>Main focus</x:v>
      </x:c>
      <x:c r="C9" s="12" t="str">
        <x:v>Core Java practice</x:v>
      </x:c>
      <x:c r="D9" s="12" t="str">
        <x:v>Required daily result</x:v>
      </x:c>
      <x:c r="E9" s="12" t="str">
        <x:v>Planned h</x:v>
      </x:c>
      <x:c r="F9" s="12" t="str">
        <x:v>Actual h</x:v>
      </x:c>
      <x:c r="G9" s="12" t="str">
        <x:v>Done tasks</x:v>
      </x:c>
      <x:c r="H9" s="12" t="str">
        <x:v>Progress</x:v>
      </x:c>
      <x:c r="I9" s="12" t="str">
        <x:v>State</x:v>
      </x:c>
      <x:c r="J9" s="12" t="str">
        <x:v>Reading IDs</x:v>
      </x:c>
    </x:row>
    <x:row r="10" ht="44" customHeight="1">
      <x:c r="A10" s="13" t="n">
        <x:v>1</x:v>
      </x:c>
      <x:c r="B10" s="13" t="str">
        <x:v>Core Java and service foundations</x:v>
      </x:c>
      <x:c r="C10" s="13" t="str">
        <x:v>Records, interfaces, collections, BigDecimal, exceptions</x:v>
      </x:c>
      <x:c r="D10" s="13" t="str">
        <x:v>Product API persists data. Order service starts independently. Validation and unit tests pass.</x:v>
      </x:c>
      <x:c r="E10" s="15" t="n">
        <x:f>SUMIFS('Hands-on Tasks'!$F$7:$F$48,'Hands-on Tasks'!$B$7:$B$48,A10)</x:f>
        <x:v>8</x:v>
      </x:c>
      <x:c r="F10" s="15" t="str">
        <x:f>IF(COUNTIFS('Hands-on Tasks'!$B$7:$B$48,A10,'Hands-on Tasks'!$I$7:$I$48,"&lt;&gt;")=0,"",SUMIFS('Hands-on Tasks'!$I$7:$I$48,'Hands-on Tasks'!$B$7:$B$48,A10))</x:f>
      </x:c>
      <x:c r="G10" s="17" t="n">
        <x:f>COUNTIFS('Hands-on Tasks'!$B$7:$B$48,A10,'Hands-on Tasks'!$J$7:$J$48,"Complete")</x:f>
        <x:v>0</x:v>
      </x:c>
      <x:c r="H10" s="19" t="n">
        <x:f>IF(E10=0,0,SUMIFS('Hands-on Tasks'!$F$7:$F$48,'Hands-on Tasks'!$B$7:$B$48,A10,'Hands-on Tasks'!$J$7:$J$48,"Complete")/E10)</x:f>
        <x:v>0</x:v>
      </x:c>
      <x:c r="I10" s="13" t="str">
        <x:f>IF(H10=1,"Complete",IF(COUNTIFS('Hands-on Tasks'!$B$7:$B$48,A10,'Hands-on Tasks'!$G$7:$G$48,"Blocked")&gt;0,"Blocked",IF(COUNTIFS('Hands-on Tasks'!$B$7:$B$48,A10,'Hands-on Tasks'!$G$7:$G$48,"In progress")+COUNTIFS('Hands-on Tasks'!$B$7:$B$48,A10,'Hands-on Tasks'!$G$7:$G$48,"Done")&gt;0,"In progress","Not started")))</x:f>
        <x:v>Not started</x:v>
      </x:c>
      <x:c r="J10" s="13" t="str">
        <x:v>L1, L2, P1, D1</x:v>
      </x:c>
    </x:row>
    <x:row r="11" ht="58" customHeight="1">
      <x:c r="A11" s="14" t="n">
        <x:v>2</x:v>
      </x:c>
      <x:c r="B11" s="14" t="str">
        <x:v>Caching and Oracle Coherence</x:v>
      </x:c>
      <x:c r="C11" s="14" t="str">
        <x:v>equals/hashCode, immutable keys, ConcurrentHashMap, atomic operations</x:v>
      </x:c>
      <x:c r="D11" s="14" t="str">
        <x:v>Reproduce stale local caches, then run two members with a shared Coherence cache.</x:v>
      </x:c>
      <x:c r="E11" s="16" t="n">
        <x:f>SUMIFS('Hands-on Tasks'!$F$7:$F$48,'Hands-on Tasks'!$B$7:$B$48,A11)</x:f>
        <x:v>8</x:v>
      </x:c>
      <x:c r="F11" s="16" t="str">
        <x:f>IF(COUNTIFS('Hands-on Tasks'!$B$7:$B$48,A11,'Hands-on Tasks'!$I$7:$I$48,"&lt;&gt;")=0,"",SUMIFS('Hands-on Tasks'!$I$7:$I$48,'Hands-on Tasks'!$B$7:$B$48,A11))</x:f>
      </x:c>
      <x:c r="G11" s="18" t="n">
        <x:f>COUNTIFS('Hands-on Tasks'!$B$7:$B$48,A11,'Hands-on Tasks'!$J$7:$J$48,"Complete")</x:f>
        <x:v>0</x:v>
      </x:c>
      <x:c r="H11" s="20" t="n">
        <x:f>IF(E11=0,0,SUMIFS('Hands-on Tasks'!$F$7:$F$48,'Hands-on Tasks'!$B$7:$B$48,A11,'Hands-on Tasks'!$J$7:$J$48,"Complete")/E11)</x:f>
        <x:v>0</x:v>
      </x:c>
      <x:c r="I11" s="14" t="str">
        <x:f>IF(H11=1,"Complete",IF(COUNTIFS('Hands-on Tasks'!$B$7:$B$48,A11,'Hands-on Tasks'!$G$7:$G$48,"Blocked")&gt;0,"Blocked",IF(COUNTIFS('Hands-on Tasks'!$B$7:$B$48,A11,'Hands-on Tasks'!$G$7:$G$48,"In progress")+COUNTIFS('Hands-on Tasks'!$B$7:$B$48,A11,'Hands-on Tasks'!$G$7:$G$48,"Done")&gt;0,"In progress","Not started")))</x:f>
        <x:v>Not started</x:v>
      </x:c>
      <x:c r="J11" s="14" t="str">
        <x:v>L2, P2, D2, D3</x:v>
      </x:c>
    </x:row>
    <x:row r="12" ht="44" customHeight="1">
      <x:c r="A12" s="13" t="n">
        <x:v>3</x:v>
      </x:c>
      <x:c r="B12" s="13" t="str">
        <x:v>Router API and gateway routing</x:v>
      </x:c>
      <x:c r="C12" s="13" t="str">
        <x:v>URI handling, lambdas, HTTP semantics, correlation IDs</x:v>
      </x:c>
      <x:c r="D12" s="13" t="str">
        <x:v>router-api routes both services, strips only /api, and preserves errors and query parameters.</x:v>
      </x:c>
      <x:c r="E12" s="15" t="n">
        <x:f>SUMIFS('Hands-on Tasks'!$F$7:$F$48,'Hands-on Tasks'!$B$7:$B$48,A12)</x:f>
        <x:v>8</x:v>
      </x:c>
      <x:c r="F12" s="15" t="str">
        <x:f>IF(COUNTIFS('Hands-on Tasks'!$B$7:$B$48,A12,'Hands-on Tasks'!$I$7:$I$48,"&lt;&gt;")=0,"",SUMIFS('Hands-on Tasks'!$I$7:$I$48,'Hands-on Tasks'!$B$7:$B$48,A12))</x:f>
      </x:c>
      <x:c r="G12" s="17" t="n">
        <x:f>COUNTIFS('Hands-on Tasks'!$B$7:$B$48,A12,'Hands-on Tasks'!$J$7:$J$48,"Complete")</x:f>
        <x:v>0</x:v>
      </x:c>
      <x:c r="H12" s="19" t="n">
        <x:f>IF(E12=0,0,SUMIFS('Hands-on Tasks'!$F$7:$F$48,'Hands-on Tasks'!$B$7:$B$48,A12,'Hands-on Tasks'!$J$7:$J$48,"Complete")/E12)</x:f>
        <x:v>0</x:v>
      </x:c>
      <x:c r="I12" s="13" t="str">
        <x:f>IF(H12=1,"Complete",IF(COUNTIFS('Hands-on Tasks'!$B$7:$B$48,A12,'Hands-on Tasks'!$G$7:$G$48,"Blocked")&gt;0,"Blocked",IF(COUNTIFS('Hands-on Tasks'!$B$7:$B$48,A12,'Hands-on Tasks'!$G$7:$G$48,"In progress")+COUNTIFS('Hands-on Tasks'!$B$7:$B$48,A12,'Hands-on Tasks'!$G$7:$G$48,"Done")&gt;0,"In progress","Not started")))</x:f>
        <x:v>Not started</x:v>
      </x:c>
      <x:c r="J12" s="13" t="str">
        <x:v>L3, P3, D4, D5</x:v>
      </x:c>
    </x:row>
    <x:row r="13" ht="58" customHeight="1">
      <x:c r="A13" s="14" t="n">
        <x:v>4</x:v>
      </x:c>
      <x:c r="B13" s="14" t="str">
        <x:v>Circuit breakers and timeouts</x:v>
      </x:c>
      <x:c r="C13" s="14" t="str">
        <x:v>Exception classification, time budgets, ExecutorService, futures</x:v>
      </x:c>
      <x:c r="D13" s="14" t="str">
        <x:v>An unavailable product service causes an honest 503. Breaker opens and recovers without duplicate orders.</x:v>
      </x:c>
      <x:c r="E13" s="16" t="n">
        <x:f>SUMIFS('Hands-on Tasks'!$F$7:$F$48,'Hands-on Tasks'!$B$7:$B$48,A13)</x:f>
        <x:v>8</x:v>
      </x:c>
      <x:c r="F13" s="16" t="str">
        <x:f>IF(COUNTIFS('Hands-on Tasks'!$B$7:$B$48,A13,'Hands-on Tasks'!$I$7:$I$48,"&lt;&gt;")=0,"",SUMIFS('Hands-on Tasks'!$I$7:$I$48,'Hands-on Tasks'!$B$7:$B$48,A13))</x:f>
      </x:c>
      <x:c r="G13" s="18" t="n">
        <x:f>COUNTIFS('Hands-on Tasks'!$B$7:$B$48,A13,'Hands-on Tasks'!$J$7:$J$48,"Complete")</x:f>
        <x:v>0</x:v>
      </x:c>
      <x:c r="H13" s="20" t="n">
        <x:f>IF(E13=0,0,SUMIFS('Hands-on Tasks'!$F$7:$F$48,'Hands-on Tasks'!$B$7:$B$48,A13,'Hands-on Tasks'!$J$7:$J$48,"Complete")/E13)</x:f>
        <x:v>0</x:v>
      </x:c>
      <x:c r="I13" s="14" t="str">
        <x:f>IF(H13=1,"Complete",IF(COUNTIFS('Hands-on Tasks'!$B$7:$B$48,A13,'Hands-on Tasks'!$G$7:$G$48,"Blocked")&gt;0,"Blocked",IF(COUNTIFS('Hands-on Tasks'!$B$7:$B$48,A13,'Hands-on Tasks'!$G$7:$G$48,"In progress")+COUNTIFS('Hands-on Tasks'!$B$7:$B$48,A13,'Hands-on Tasks'!$G$7:$G$48,"Done")&gt;0,"In progress","Not started")))</x:f>
        <x:v>Not started</x:v>
      </x:c>
      <x:c r="J13" s="14" t="str">
        <x:v>L4, P2, D6</x:v>
      </x:c>
    </x:row>
    <x:row r="14" ht="58" customHeight="1">
      <x:c r="A14" s="13" t="n">
        <x:v>5</x:v>
      </x:c>
      <x:c r="B14" s="13" t="str">
        <x:v>Kafka in Spring Boot services</x:v>
      </x:c>
      <x:c r="C14" s="13" t="str">
        <x:v>Event records, serialization, partition keys, consumer concurrency</x:v>
      </x:c>
      <x:c r="D14" s="13" t="str">
        <x:v>Publish and consume versioned events. Duplicate and poison-message tests behave as designed.</x:v>
      </x:c>
      <x:c r="E14" s="15" t="n">
        <x:f>SUMIFS('Hands-on Tasks'!$F$7:$F$48,'Hands-on Tasks'!$B$7:$B$48,A14)</x:f>
        <x:v>8</x:v>
      </x:c>
      <x:c r="F14" s="15" t="str">
        <x:f>IF(COUNTIFS('Hands-on Tasks'!$B$7:$B$48,A14,'Hands-on Tasks'!$I$7:$I$48,"&lt;&gt;")=0,"",SUMIFS('Hands-on Tasks'!$I$7:$I$48,'Hands-on Tasks'!$B$7:$B$48,A14))</x:f>
      </x:c>
      <x:c r="G14" s="17" t="n">
        <x:f>COUNTIFS('Hands-on Tasks'!$B$7:$B$48,A14,'Hands-on Tasks'!$J$7:$J$48,"Complete")</x:f>
        <x:v>0</x:v>
      </x:c>
      <x:c r="H14" s="19" t="n">
        <x:f>IF(E14=0,0,SUMIFS('Hands-on Tasks'!$F$7:$F$48,'Hands-on Tasks'!$B$7:$B$48,A14,'Hands-on Tasks'!$J$7:$J$48,"Complete")/E14)</x:f>
        <x:v>0</x:v>
      </x:c>
      <x:c r="I14" s="13" t="str">
        <x:f>IF(H14=1,"Complete",IF(COUNTIFS('Hands-on Tasks'!$B$7:$B$48,A14,'Hands-on Tasks'!$G$7:$G$48,"Blocked")&gt;0,"Blocked",IF(COUNTIFS('Hands-on Tasks'!$B$7:$B$48,A14,'Hands-on Tasks'!$G$7:$G$48,"In progress")+COUNTIFS('Hands-on Tasks'!$B$7:$B$48,A14,'Hands-on Tasks'!$G$7:$G$48,"Done")&gt;0,"In progress","Not started")))</x:f>
        <x:v>Not started</x:v>
      </x:c>
      <x:c r="J14" s="13" t="str">
        <x:v>L5, P3, D7, D8</x:v>
      </x:c>
    </x:row>
    <x:row r="15" ht="58" customHeight="1">
      <x:c r="A15" s="14" t="n">
        <x:v>6</x:v>
      </x:c>
      <x:c r="B15" s="14" t="str">
        <x:v>Cache consistency and reliable events</x:v>
      </x:c>
      <x:c r="C15" s="14" t="str">
        <x:v>Transactions, race conditions, idempotency, version comparisons</x:v>
      </x:c>
      <x:c r="D15" s="14" t="str">
        <x:v>Outbox survives broker outage. Shared cache invalidation reaches replicas. Duplicates are harmless.</x:v>
      </x:c>
      <x:c r="E15" s="16" t="n">
        <x:f>SUMIFS('Hands-on Tasks'!$F$7:$F$48,'Hands-on Tasks'!$B$7:$B$48,A15)</x:f>
        <x:v>8</x:v>
      </x:c>
      <x:c r="F15" s="16" t="str">
        <x:f>IF(COUNTIFS('Hands-on Tasks'!$B$7:$B$48,A15,'Hands-on Tasks'!$I$7:$I$48,"&lt;&gt;")=0,"",SUMIFS('Hands-on Tasks'!$I$7:$I$48,'Hands-on Tasks'!$B$7:$B$48,A15))</x:f>
      </x:c>
      <x:c r="G15" s="18" t="n">
        <x:f>COUNTIFS('Hands-on Tasks'!$B$7:$B$48,A15,'Hands-on Tasks'!$J$7:$J$48,"Complete")</x:f>
        <x:v>0</x:v>
      </x:c>
      <x:c r="H15" s="20" t="n">
        <x:f>IF(E15=0,0,SUMIFS('Hands-on Tasks'!$F$7:$F$48,'Hands-on Tasks'!$B$7:$B$48,A15,'Hands-on Tasks'!$J$7:$J$48,"Complete")/E15)</x:f>
        <x:v>0</x:v>
      </x:c>
      <x:c r="I15" s="14" t="str">
        <x:f>IF(H15=1,"Complete",IF(COUNTIFS('Hands-on Tasks'!$B$7:$B$48,A15,'Hands-on Tasks'!$G$7:$G$48,"Blocked")&gt;0,"Blocked",IF(COUNTIFS('Hands-on Tasks'!$B$7:$B$48,A15,'Hands-on Tasks'!$G$7:$G$48,"In progress")+COUNTIFS('Hands-on Tasks'!$B$7:$B$48,A15,'Hands-on Tasks'!$G$7:$G$48,"Done")&gt;0,"In progress","Not started")))</x:f>
        <x:v>Not started</x:v>
      </x:c>
      <x:c r="J15" s="14" t="str">
        <x:v>L7, P3, D3, D9</x:v>
      </x:c>
    </x:row>
    <x:row r="16" ht="58" customHeight="1">
      <x:c r="A16" s="13" t="n">
        <x:v>7</x:v>
      </x:c>
      <x:c r="B16" s="13" t="str">
        <x:v>Deployment and end-to-end verification</x:v>
      </x:c>
      <x:c r="C16" s="13" t="str">
        <x:v>Resource cleanup, configuration, thread pools, troubleshooting</x:v>
      </x:c>
      <x:c r="D16" s="13" t="str">
        <x:v>Deploy all components locally, run acceptance tests, restart safely and demonstrate rollback.</x:v>
      </x:c>
      <x:c r="E16" s="15" t="n">
        <x:f>SUMIFS('Hands-on Tasks'!$F$7:$F$48,'Hands-on Tasks'!$B$7:$B$48,A16)</x:f>
        <x:v>8</x:v>
      </x:c>
      <x:c r="F16" s="15" t="str">
        <x:f>IF(COUNTIFS('Hands-on Tasks'!$B$7:$B$48,A16,'Hands-on Tasks'!$I$7:$I$48,"&lt;&gt;")=0,"",SUMIFS('Hands-on Tasks'!$I$7:$I$48,'Hands-on Tasks'!$B$7:$B$48,A16))</x:f>
      </x:c>
      <x:c r="G16" s="17" t="n">
        <x:f>COUNTIFS('Hands-on Tasks'!$B$7:$B$48,A16,'Hands-on Tasks'!$J$7:$J$48,"Complete")</x:f>
        <x:v>0</x:v>
      </x:c>
      <x:c r="H16" s="19" t="n">
        <x:f>IF(E16=0,0,SUMIFS('Hands-on Tasks'!$F$7:$F$48,'Hands-on Tasks'!$B$7:$B$48,A16,'Hands-on Tasks'!$J$7:$J$48,"Complete")/E16)</x:f>
        <x:v>0</x:v>
      </x:c>
      <x:c r="I16" s="13" t="str">
        <x:f>IF(H16=1,"Complete",IF(COUNTIFS('Hands-on Tasks'!$B$7:$B$48,A16,'Hands-on Tasks'!$G$7:$G$48,"Blocked")&gt;0,"Blocked",IF(COUNTIFS('Hands-on Tasks'!$B$7:$B$48,A16,'Hands-on Tasks'!$G$7:$G$48,"In progress")+COUNTIFS('Hands-on Tasks'!$B$7:$B$48,A16,'Hands-on Tasks'!$G$7:$G$48,"Done")&gt;0,"In progress","Not started")))</x:f>
        <x:v>Not started</x:v>
      </x:c>
      <x:c r="J16" s="13" t="str">
        <x:v>L3, L6, P2, D10</x:v>
      </x:c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</x:row>
    <x:row r="18" ht="48" customHeight="1">
      <x:c r="A18" s="22" t="str">
        <x:v>Daily rhythm</x:v>
      </x:c>
      <x:c r="B18" s="6" t="str">
        <x:v>Java 45m; lessons 45m; reading 30m</x:v>
      </x:c>
      <x:c r="C18" s="6" t="str">
        <x:v>Build 4h; failure tests 90m; review 30m</x:v>
      </x:c>
      <x:c r="D18" s="6" t="str">
        <x:v>Breaks are additional. If unfinished, carry tasks forward; do not mark them complete.</x:v>
      </x:c>
      <x:c r="E18" s="2"/>
      <x:c r="F18" s="2"/>
      <x:c r="G18" s="2"/>
      <x:c r="H18" s="2"/>
      <x:c r="I18" s="2"/>
      <x:c r="J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</x:row>
    <x:row r="20" ht="54" customHeight="1">
      <x:c r="A20" s="22" t="str">
        <x:v>How to track</x:v>
      </x:c>
      <x:c r="B20" s="6" t="str">
        <x:v>Edit amber cells in Hands-on Tasks</x:v>
      </x:c>
      <x:c r="C20" s="6" t="str">
        <x:v>Done requires an evidence reference</x:v>
      </x:c>
      <x:c r="D20" s="6" t="str">
        <x:v>Progress weights completed tasks by planned hours, not by the number of videos watched.</x:v>
      </x:c>
      <x:c r="E20" s="2"/>
      <x:c r="F20" s="2"/>
      <x:c r="G20" s="2"/>
      <x:c r="H20" s="2"/>
      <x:c r="I20" s="2"/>
      <x:c r="J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</x:row>
    <x:row r="22" ht="66" customHeight="1">
      <x:c r="A22" s="22" t="str">
        <x:v>Before coding</x:v>
      </x:c>
      <x:c r="B22" s="6" t="str">
        <x:v>Read Service Contracts S02–S04</x:v>
      </x:c>
      <x:c r="C22" s="6" t="str">
        <x:v>Historical local compatibility lab</x:v>
      </x:c>
      <x:c r="D22" s="6" t="str">
        <x:v>The verified Coherence integration uses an older Boot/Cloud line. Keep it local and upgrade supported dependencies before real deployment.</x:v>
      </x:c>
      <x:c r="E22" s="2"/>
      <x:c r="F22" s="2"/>
      <x:c r="G22" s="2"/>
      <x:c r="H22" s="2"/>
      <x:c r="I22" s="2"/>
      <x:c r="J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</x:row>
  </x:sheetData>
  <x:conditionalFormatting sqref="I10:I16">
    <x:cfRule type="containsText" dxfId="0" priority="1" operator="containsText" text="Blocked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0" hidden="0" customWidth="1"/>
    <x:col min="2" max="2" width="6" hidden="0" customWidth="1"/>
    <x:col min="3" max="3" width="21.25" hidden="0" customWidth="1"/>
    <x:col min="4" max="4" width="61.25" hidden="0" customWidth="1"/>
    <x:col min="5" max="5" width="57.5" hidden="0" customWidth="1"/>
    <x:col min="6" max="6" width="9.380000114440918" hidden="0" customWidth="1"/>
    <x:col min="7" max="7" width="16" hidden="0" customWidth="1"/>
    <x:col min="8" max="8" width="30" hidden="0" customWidth="1"/>
    <x:col min="9" max="9" width="9.380000114440918" hidden="0" customWidth="1"/>
    <x:col min="10" max="10" width="17.5" hidden="0" customWidth="1"/>
  </x:cols>
  <x:sheetData>
    <x:row r="1" ht="9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8" customHeight="1">
      <x:c r="A2" s="3" t="str">
        <x:v>Hands-on Tasks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8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</x:row>
    <x:row r="4">
      <x:c r="A4" s="2" t="str">
        <x:v>Work through each day in order. Enter status, evidence and actual hours in amber cells.</x:v>
      </x:c>
      <x:c r="B4" s="2"/>
      <x:c r="C4" s="2"/>
      <x:c r="D4" s="2"/>
      <x:c r="E4" s="2"/>
      <x:c r="F4" s="2"/>
      <x:c r="G4" s="2"/>
      <x:c r="H4" s="2"/>
      <x:c r="I4" s="2"/>
      <x:c r="J4" s="2"/>
    </x:row>
    <x:row r="5">
      <x:c r="A5" s="2" t="str">
        <x:v>Evidence can be a commit ID, test report, saved HTTP response or log reference. Complete means Done plus evidence.</x:v>
      </x:c>
      <x:c r="B5" s="2"/>
      <x:c r="C5" s="2"/>
      <x:c r="D5" s="2"/>
      <x:c r="E5" s="2"/>
      <x:c r="F5" s="2"/>
      <x:c r="G5" s="2"/>
      <x:c r="H5" s="2"/>
      <x:c r="I5" s="2"/>
      <x:c r="J5" s="2"/>
    </x:row>
    <x:row r="6" ht="35" customHeight="1">
      <x:c r="A6" s="12" t="str">
        <x:v>Task ID</x:v>
      </x:c>
      <x:c r="B6" s="12" t="str">
        <x:v>Day</x:v>
      </x:c>
      <x:c r="C6" s="12" t="str">
        <x:v>Block</x:v>
      </x:c>
      <x:c r="D6" s="12" t="str">
        <x:v>Practical requirement</x:v>
      </x:c>
      <x:c r="E6" s="12" t="str">
        <x:v>Acceptance check</x:v>
      </x:c>
      <x:c r="F6" s="12" t="str">
        <x:v>Planned h</x:v>
      </x:c>
      <x:c r="G6" s="12" t="str">
        <x:v>Status</x:v>
      </x:c>
      <x:c r="H6" s="12" t="str">
        <x:v>Evidence / notes</x:v>
      </x:c>
      <x:c r="I6" s="12" t="str">
        <x:v>Actual h</x:v>
      </x:c>
      <x:c r="J6" s="12" t="str">
        <x:v>Completion</x:v>
      </x:c>
    </x:row>
    <x:row r="7" ht="72" customHeight="1">
      <x:c r="A7" s="13" t="str">
        <x:v>D1-1</x:v>
      </x:c>
      <x:c r="B7" s="13" t="n">
        <x:v>1</x:v>
      </x:c>
      <x:c r="C7" s="13" t="str">
        <x:v>Core Java</x:v>
      </x:c>
      <x:c r="D7" s="13" t="str">
        <x:v>Create Product and OrderLine records, an OrderStatus enum, a PricingService interface and a BigDecimal total calculator. Reject non-positive quantities. Use a Map keyed by productId and demonstrate equality in a HashSet.</x:v>
      </x:c>
      <x:c r="E7" s="13" t="str">
        <x:v>Unit tests cover 2 x 499.50 = 999.00, bad quantities and duplicate IDs. Explain why double is unsuitable for this price calculation.</x:v>
      </x:c>
      <x:c r="F7" s="15" t="n">
        <x:v>0.75</x:v>
      </x:c>
      <x:c r="G7" s="23" t="str">
        <x:v>Not started</x:v>
      </x:c>
      <x:c r="H7" s="23" t="str"/>
      <x:c r="I7" s="24"/>
      <x:c r="J7" s="13" t="str">
        <x:f>IF(G7="Done",IF(LEN(TRIM(H7))&gt;0,"Complete","Add evidence"),IF(G7="Blocked","Blocked",IF(G7="In progress","In progress","Not started")))</x:f>
        <x:v>Not started</x:v>
      </x:c>
    </x:row>
    <x:row r="8" ht="58" customHeight="1">
      <x:c r="A8" s="14" t="str">
        <x:v>D1-2</x:v>
      </x:c>
      <x:c r="B8" s="14" t="n">
        <x:v>1</x:v>
      </x:c>
      <x:c r="C8" s="14" t="str">
        <x:v>Lessons and reading</x:v>
      </x:c>
      <x:c r="D8" s="14" t="str">
        <x:v>Watch 45m total from L1/L2: collection choices, service layers and REST configuration. Read P1 for 30m on Objects and Designing Classes. Use D1 when implementing the endpoint.</x:v>
      </x:c>
      <x:c r="E8" s="14" t="str">
        <x:v>Write five notes linked to the code you will write. Time allocations are study budgets, not course runtimes.</x:v>
      </x:c>
      <x:c r="F8" s="16" t="n">
        <x:v>1.25</x:v>
      </x:c>
      <x:c r="G8" s="23" t="str">
        <x:v>Not started</x:v>
      </x:c>
      <x:c r="H8" s="23" t="str"/>
      <x:c r="I8" s="24"/>
      <x:c r="J8" s="14" t="str">
        <x:f>IF(G8="Done",IF(LEN(TRIM(H8))&gt;0,"Complete","Add evidence"),IF(G8="Blocked","Blocked",IF(G8="In progress","In progress","Not started")))</x:f>
        <x:v>Not started</x:v>
      </x:c>
    </x:row>
    <x:row r="9" ht="72" customHeight="1">
      <x:c r="A9" s="13" t="str">
        <x:v>D1-3</x:v>
      </x:c>
      <x:c r="B9" s="13" t="n">
        <x:v>1</x:v>
      </x:c>
      <x:c r="C9" s="13" t="str">
        <x:v>Build service skeletons</x:v>
      </x:c>
      <x:c r="D9" s="13" t="str">
        <x:v>Create product-service and order-service as separate Gradle projects using the lab version set in Service Contracts. Add Actuator, validation, JPA and PostgreSQL to product-service. Keep order-service independent.</x:v>
      </x:c>
      <x:c r="E9" s="13" t="str">
        <x:v>Both services start on 8081/8082; health is UP. Wrapper tests run with the same Java 21 toolchain. No AI keys or paid cloud required.</x:v>
      </x:c>
      <x:c r="F9" s="15" t="n">
        <x:v>2</x:v>
      </x:c>
      <x:c r="G9" s="23" t="str">
        <x:v>Not started</x:v>
      </x:c>
      <x:c r="H9" s="23" t="str"/>
      <x:c r="I9" s="24"/>
      <x:c r="J9" s="13" t="str">
        <x:f>IF(G9="Done",IF(LEN(TRIM(H9))&gt;0,"Complete","Add evidence"),IF(G9="Blocked","Blocked",IF(G9="In progress","In progress","Not started")))</x:f>
        <x:v>Not started</x:v>
      </x:c>
    </x:row>
    <x:row r="10" ht="58" customHeight="1">
      <x:c r="A10" s="14" t="str">
        <x:v>D1-4</x:v>
      </x:c>
      <x:c r="B10" s="14" t="n">
        <x:v>1</x:v>
      </x:c>
      <x:c r="C10" s="14" t="str">
        <x:v>Build product persistence</x:v>
      </x:c>
      <x:c r="D10" s="14" t="str">
        <x:v>Implement POST /products, GET /products/{id}, PUT /products/{id} and GET /products. Use DTOs, a service layer, repository and a migration. Store price as decimal and add a numeric version.</x:v>
      </x:c>
      <x:c r="E10" s="14" t="str">
        <x:v>Create P100 with price 499.50; GET returns it after a restart. Invalid input is 400, missing ID is 404, duplicate ID is 409.</x:v>
      </x:c>
      <x:c r="F10" s="16" t="n">
        <x:v>2</x:v>
      </x:c>
      <x:c r="G10" s="23" t="str">
        <x:v>Not started</x:v>
      </x:c>
      <x:c r="H10" s="23" t="str"/>
      <x:c r="I10" s="24"/>
      <x:c r="J10" s="14" t="str">
        <x:f>IF(G10="Done",IF(LEN(TRIM(H10))&gt;0,"Complete","Add evidence"),IF(G10="Blocked","Blocked",IF(G10="In progress","In progress","Not started")))</x:f>
        <x:v>Not started</x:v>
      </x:c>
    </x:row>
    <x:row r="11" ht="58" customHeight="1">
      <x:c r="A11" s="13" t="str">
        <x:v>D1-5</x:v>
      </x:c>
      <x:c r="B11" s="13" t="n">
        <x:v>1</x:v>
      </x:c>
      <x:c r="C11" s="13" t="str">
        <x:v>Test and inspect</x:v>
      </x:c>
      <x:c r="D11" s="13" t="str">
        <x:v>Write controller, service and repository tests. Run with a disposable PostgreSQL instance or Testcontainers. Confirm configuration is environment-based and no database password is committed.</x:v>
      </x:c>
      <x:c r="E11" s="13" t="str">
        <x:v>At least six meaningful tests pass, including rollback on a failed update. Save test report and sample HTTP responses.</x:v>
      </x:c>
      <x:c r="F11" s="15" t="n">
        <x:v>1.5</x:v>
      </x:c>
      <x:c r="G11" s="23" t="str">
        <x:v>Not started</x:v>
      </x:c>
      <x:c r="H11" s="23" t="str"/>
      <x:c r="I11" s="24"/>
      <x:c r="J11" s="13" t="str">
        <x:f>IF(G11="Done",IF(LEN(TRIM(H11))&gt;0,"Complete","Add evidence"),IF(G11="Blocked","Blocked",IF(G11="In progress","In progress","Not started")))</x:f>
        <x:v>Not started</x:v>
      </x:c>
    </x:row>
    <x:row r="12" ht="58" customHeight="1">
      <x:c r="A12" s="14" t="str">
        <x:v>D1-6</x:v>
      </x:c>
      <x:c r="B12" s="14" t="n">
        <x:v>1</x:v>
      </x:c>
      <x:c r="C12" s="14" t="str">
        <x:v>Review and record</x:v>
      </x:c>
      <x:c r="D12" s="14" t="str">
        <x:v>Commit Day 1 work locally. Sketch which service owns each database and list what is not implemented yet. Record exact Java/Boot/Cloud/Coherence versions.</x:v>
      </x:c>
      <x:c r="E12" s="14" t="str">
        <x:v>Evidence contains commit ID, tests and a short explanation of dependency injection versus direct construction.</x:v>
      </x:c>
      <x:c r="F12" s="16" t="n">
        <x:v>0.5</x:v>
      </x:c>
      <x:c r="G12" s="23" t="str">
        <x:v>Not started</x:v>
      </x:c>
      <x:c r="H12" s="23" t="str"/>
      <x:c r="I12" s="24"/>
      <x:c r="J12" s="14" t="str">
        <x:f>IF(G12="Done",IF(LEN(TRIM(H12))&gt;0,"Complete","Add evidence"),IF(G12="Blocked","Blocked",IF(G12="In progress","In progress","Not started")))</x:f>
        <x:v>Not started</x:v>
      </x:c>
    </x:row>
    <x:row r="13" ht="58" customHeight="1">
      <x:c r="A13" s="13" t="str">
        <x:v>D2-1</x:v>
      </x:c>
      <x:c r="B13" s="13" t="n">
        <x:v>2</x:v>
      </x:c>
      <x:c r="C13" s="13" t="str">
        <x:v>Core Java</x:v>
      </x:c>
      <x:c r="D13" s="13" t="str">
        <x:v>Write a concurrency test with multiple threads updating a shared counter. Contrast an unsafe read-modify-write with an atomic operation. Design an immutable product cache key.</x:v>
      </x:c>
      <x:c r="E13" s="13" t="str">
        <x:v>Explain why a thread-safe map does not make every compound operation atomic, and why a JVM lock cannot coordinate other JVMs.</x:v>
      </x:c>
      <x:c r="F13" s="15" t="n">
        <x:v>0.75</x:v>
      </x:c>
      <x:c r="G13" s="23" t="str">
        <x:v>Not started</x:v>
      </x:c>
      <x:c r="H13" s="23" t="str"/>
      <x:c r="I13" s="24"/>
      <x:c r="J13" s="13" t="str">
        <x:f>IF(G13="Done",IF(LEN(TRIM(H13))&gt;0,"Complete","Add evidence"),IF(G13="Blocked","Blocked",IF(G13="In progress","In progress","Not started")))</x:f>
        <x:v>Not started</x:v>
      </x:c>
    </x:row>
    <x:row r="14" ht="58" customHeight="1">
      <x:c r="A14" s="14" t="str">
        <x:v>D2-2</x:v>
      </x:c>
      <x:c r="B14" s="14" t="n">
        <x:v>2</x:v>
      </x:c>
      <x:c r="C14" s="14" t="str">
        <x:v>Lessons and reading</x:v>
      </x:c>
      <x:c r="D14" s="14" t="str">
        <x:v>Watch 45m from L2 on configuration/profiles and service-layer boundaries, then connect them to cache configuration. Read P2 sections 2 and 4 for 30m; use D2 for cache annotations.</x:v>
      </x:c>
      <x:c r="E14" s="14" t="str">
        <x:v>Explain CacheManager versus cache provider and Oracle Coherence versus cache consistency. Identify the proxy self-invocation pitfall.</x:v>
      </x:c>
      <x:c r="F14" s="16" t="n">
        <x:v>1.25</x:v>
      </x:c>
      <x:c r="G14" s="23" t="str">
        <x:v>Not started</x:v>
      </x:c>
      <x:c r="H14" s="23" t="str"/>
      <x:c r="I14" s="24"/>
      <x:c r="J14" s="14" t="str">
        <x:f>IF(G14="Done",IF(LEN(TRIM(H14))&gt;0,"Complete","Add evidence"),IF(G14="Blocked","Blocked",IF(G14="In progress","In progress","Not started")))</x:f>
        <x:v>Not started</x:v>
      </x:c>
    </x:row>
    <x:row r="15" ht="58" customHeight="1">
      <x:c r="A15" s="13" t="str">
        <x:v>D2-3</x:v>
      </x:c>
      <x:c r="B15" s="13" t="n">
        <x:v>2</x:v>
      </x:c>
      <x:c r="C15" s="13" t="str">
        <x:v>Build local cache experiment</x:v>
      </x:c>
      <x:c r="D15" s="13" t="str">
        <x:v>Add a local Caffeine profile with products cache, maximum size 1000 and 30-second TTL. Use @Cacheable for reads. Count database loads. Evict only after a successful database commit.</x:v>
      </x:c>
      <x:c r="E15" s="13" t="str">
        <x:v>A repeated read avoids another DB load. A failed transaction does not publish a successful update. Tests cover eviction and TTL.</x:v>
      </x:c>
      <x:c r="F15" s="15" t="n">
        <x:v>2</x:v>
      </x:c>
      <x:c r="G15" s="23" t="str">
        <x:v>Not started</x:v>
      </x:c>
      <x:c r="H15" s="23" t="str"/>
      <x:c r="I15" s="24"/>
      <x:c r="J15" s="13" t="str">
        <x:f>IF(G15="Done",IF(LEN(TRIM(H15))&gt;0,"Complete","Add evidence"),IF(G15="Blocked","Blocked",IF(G15="In progress","In progress","Not started")))</x:f>
        <x:v>Not started</x:v>
      </x:c>
    </x:row>
    <x:row r="16" ht="72" customHeight="1">
      <x:c r="A16" s="14" t="str">
        <x:v>D2-4</x:v>
      </x:c>
      <x:c r="B16" s="14" t="n">
        <x:v>2</x:v>
      </x:c>
      <x:c r="C16" s="14" t="str">
        <x:v>Build distributed cache</x:v>
      </x:c>
      <x:c r="D16" s="14" t="str">
        <x:v>Using P2 quickstart configuration, run two Coherence members and two product-service replicas against the same product database. Select a CoherenceCacheManager explicitly in the coherence profile.</x:v>
      </x:c>
      <x:c r="E16" s="14" t="str">
        <x:v>Warm both replicas; update through A; verify the shared entry is evicted/reloaded and B sees the new value. Both apps report the intended cluster.</x:v>
      </x:c>
      <x:c r="F16" s="16" t="n">
        <x:v>2</x:v>
      </x:c>
      <x:c r="G16" s="23" t="str">
        <x:v>Not started</x:v>
      </x:c>
      <x:c r="H16" s="23" t="str"/>
      <x:c r="I16" s="24"/>
      <x:c r="J16" s="14" t="str">
        <x:f>IF(G16="Done",IF(LEN(TRIM(H16))&gt;0,"Complete","Add evidence"),IF(G16="Blocked","Blocked",IF(G16="In progress","In progress","Not started")))</x:f>
        <x:v>Not started</x:v>
      </x:c>
    </x:row>
    <x:row r="17" ht="58" customHeight="1">
      <x:c r="A17" s="13" t="str">
        <x:v>D2-5</x:v>
      </x:c>
      <x:c r="B17" s="13" t="n">
        <x:v>2</x:v>
      </x:c>
      <x:c r="C17" s="13" t="str">
        <x:v>Test stale and failed cache cases</x:v>
      </x:c>
      <x:c r="D17" s="13" t="str">
        <x:v>First demonstrate B stays stale with two independent local caches. Then repeat with shared Coherence. Stop one cache member after backup ownership is established; record survival and recovery.</x:v>
      </x:c>
      <x:c r="E17" s="13" t="str">
        <x:v>Save before/after responses, DB-load counts and cluster logs. Explain why a direct SQL update is not automatically detected by Coherence.</x:v>
      </x:c>
      <x:c r="F17" s="15" t="n">
        <x:v>1.5</x:v>
      </x:c>
      <x:c r="G17" s="23" t="str">
        <x:v>Not started</x:v>
      </x:c>
      <x:c r="H17" s="23" t="str"/>
      <x:c r="I17" s="24"/>
      <x:c r="J17" s="13" t="str">
        <x:f>IF(G17="Done",IF(LEN(TRIM(H17))&gt;0,"Complete","Add evidence"),IF(G17="Blocked","Blocked",IF(G17="In progress","In progress","Not started")))</x:f>
        <x:v>Not started</x:v>
      </x:c>
    </x:row>
    <x:row r="18" ht="58" customHeight="1">
      <x:c r="A18" s="14" t="str">
        <x:v>D2-6</x:v>
      </x:c>
      <x:c r="B18" s="14" t="n">
        <x:v>2</x:v>
      </x:c>
      <x:c r="C18" s="14" t="str">
        <x:v>Review and record</x:v>
      </x:c>
      <x:c r="D18" s="14" t="str">
        <x:v>Write cache key, TTL, owner, update/invalidation rule and cache-down policy. If testing sync=true, document the actual provider behaviour rather than assuming a distributed lock.</x:v>
      </x:c>
      <x:c r="E18" s="14" t="str">
        <x:v>Evidence explains cache-aside, stampedes, after-commit timing and one remaining race.</x:v>
      </x:c>
      <x:c r="F18" s="16" t="n">
        <x:v>0.5</x:v>
      </x:c>
      <x:c r="G18" s="23" t="str">
        <x:v>Not started</x:v>
      </x:c>
      <x:c r="H18" s="23" t="str"/>
      <x:c r="I18" s="24"/>
      <x:c r="J18" s="14" t="str">
        <x:f>IF(G18="Done",IF(LEN(TRIM(H18))&gt;0,"Complete","Add evidence"),IF(G18="Blocked","Blocked",IF(G18="In progress","In progress","Not started")))</x:f>
        <x:v>Not started</x:v>
      </x:c>
    </x:row>
    <x:row r="19" ht="58" customHeight="1">
      <x:c r="A19" s="13" t="str">
        <x:v>D3-1</x:v>
      </x:c>
      <x:c r="B19" s="13" t="n">
        <x:v>3</x:v>
      </x:c>
      <x:c r="C19" s="13" t="str">
        <x:v>Core Java</x:v>
      </x:c>
      <x:c r="D19" s="13" t="str">
        <x:v>Write parameterized tests for path handling and header validation. Distinguish HTTP methods, status codes, URIs and query parameters. Practise lambdas without blocking reactive gateway threads.</x:v>
      </x:c>
      <x:c r="E19" s="13" t="str">
        <x:v>Tests include /api/products/P100?view=full and an unknown route. Explain why gateway code must not call blocking JPA repositories.</x:v>
      </x:c>
      <x:c r="F19" s="15" t="n">
        <x:v>0.75</x:v>
      </x:c>
      <x:c r="G19" s="23" t="str">
        <x:v>Not started</x:v>
      </x:c>
      <x:c r="H19" s="23" t="str"/>
      <x:c r="I19" s="24"/>
      <x:c r="J19" s="13" t="str">
        <x:f>IF(G19="Done",IF(LEN(TRIM(H19))&gt;0,"Complete","Add evidence"),IF(G19="Blocked","Blocked",IF(G19="In progress","In progress","Not started")))</x:f>
        <x:v>Not started</x:v>
      </x:c>
    </x:row>
    <x:row r="20" ht="58" customHeight="1">
      <x:c r="A20" s="14" t="str">
        <x:v>D3-2</x:v>
      </x:c>
      <x:c r="B20" s="14" t="n">
        <x:v>3</x:v>
      </x:c>
      <x:c r="C20" s="14" t="str">
        <x:v>Lessons and reading</x:v>
      </x:c>
      <x:c r="D20" s="14" t="str">
        <x:v>Watch 45m from L3 gateway chapter, including routing and API gateway responsibilities. Read P3 chapter 5 Request- and Event-Driven Systems for 30m. Consult D4/D5 for the chosen Gateway version.</x:v>
      </x:c>
      <x:c r="E20" s="14" t="str">
        <x:v>Draw a request through router-api to product-service and a separate event flow. Gateway routing is not a Kafka topic router.</x:v>
      </x:c>
      <x:c r="F20" s="16" t="n">
        <x:v>1.25</x:v>
      </x:c>
      <x:c r="G20" s="23" t="str">
        <x:v>Not started</x:v>
      </x:c>
      <x:c r="H20" s="23" t="str"/>
      <x:c r="I20" s="24"/>
      <x:c r="J20" s="14" t="str">
        <x:f>IF(G20="Done",IF(LEN(TRIM(H20))&gt;0,"Complete","Add evidence"),IF(G20="Blocked","Blocked",IF(G20="In progress","In progress","Not started")))</x:f>
        <x:v>Not started</x:v>
      </x:c>
    </x:row>
    <x:row r="21" ht="72" customHeight="1">
      <x:c r="A21" s="13" t="str">
        <x:v>D3-3</x:v>
      </x:c>
      <x:c r="B21" s="13" t="n">
        <x:v>3</x:v>
      </x:c>
      <x:c r="C21" s="13" t="str">
        <x:v>Build router-api</x:v>
      </x:c>
      <x:c r="D21" s="13" t="str">
        <x:v>Create a separate Spring Cloud Gateway WebFlux app on 8080. Configure route IDs products and orders. Route /api/products and /api/products/** to product-service; /api/orders and /api/orders/** to order-service.</x:v>
      </x:c>
      <x:c r="E21" s="13" t="str">
        <x:v>StripPrefix=1 removes only /api. Requests retain query parameters. No business logic, database or JPA dependencies in the gateway.</x:v>
      </x:c>
      <x:c r="F21" s="15" t="n">
        <x:v>2</x:v>
      </x:c>
      <x:c r="G21" s="23" t="str">
        <x:v>Not started</x:v>
      </x:c>
      <x:c r="H21" s="23" t="str"/>
      <x:c r="I21" s="24"/>
      <x:c r="J21" s="13" t="str">
        <x:f>IF(G21="Done",IF(LEN(TRIM(H21))&gt;0,"Complete","Add evidence"),IF(G21="Blocked","Blocked",IF(G21="In progress","In progress","Not started")))</x:f>
        <x:v>Not started</x:v>
      </x:c>
    </x:row>
    <x:row r="22" ht="58" customHeight="1">
      <x:c r="A22" s="14" t="str">
        <x:v>D3-4</x:v>
      </x:c>
      <x:c r="B22" s="14" t="n">
        <x:v>3</x:v>
      </x:c>
      <x:c r="C22" s="14" t="str">
        <x:v>Build routing observability</x:v>
      </x:c>
      <x:c r="D22" s="14" t="str">
        <x:v>Generate or validate a correlation ID and forward it. Add response header identifying downstream instance in the lab. Enable route inspection read-only on a local management endpoint.</x:v>
      </x:c>
      <x:c r="E22" s="14" t="str">
        <x:v>Logs allow one request to be followed across gateway/service. No password, authorization token or full sensitive payload appears in logs.</x:v>
      </x:c>
      <x:c r="F22" s="16" t="n">
        <x:v>2</x:v>
      </x:c>
      <x:c r="G22" s="23" t="str">
        <x:v>Not started</x:v>
      </x:c>
      <x:c r="H22" s="23" t="str"/>
      <x:c r="I22" s="24"/>
      <x:c r="J22" s="14" t="str">
        <x:f>IF(G22="Done",IF(LEN(TRIM(H22))&gt;0,"Complete","Add evidence"),IF(G22="Blocked","Blocked",IF(G22="In progress","In progress","Not started")))</x:f>
        <x:v>Not started</x:v>
      </x:c>
    </x:row>
    <x:row r="23" ht="58" customHeight="1">
      <x:c r="A23" s="13" t="str">
        <x:v>D3-5</x:v>
      </x:c>
      <x:c r="B23" s="13" t="n">
        <x:v>3</x:v>
      </x:c>
      <x:c r="C23" s="13" t="str">
        <x:v>Test the gateway contract</x:v>
      </x:c>
      <x:c r="D23" s="13" t="str">
        <x:v>Run positive and negative route tests for GET, POST and PUT. Test bad payloads, unknown route and stopped downstream. Compare direct and gateway responses.</x:v>
      </x:c>
      <x:c r="E23" s="13" t="str">
        <x:v>Known routes work; unknown route is 404; service 400/404 is preserved. A stopped downstream is 5xx, never fabricated 200.</x:v>
      </x:c>
      <x:c r="F23" s="15" t="n">
        <x:v>1.5</x:v>
      </x:c>
      <x:c r="G23" s="23" t="str">
        <x:v>Not started</x:v>
      </x:c>
      <x:c r="H23" s="23" t="str"/>
      <x:c r="I23" s="24"/>
      <x:c r="J23" s="13" t="str">
        <x:f>IF(G23="Done",IF(LEN(TRIM(H23))&gt;0,"Complete","Add evidence"),IF(G23="Blocked","Blocked",IF(G23="In progress","In progress","Not started")))</x:f>
        <x:v>Not started</x:v>
      </x:c>
    </x:row>
    <x:row r="24" ht="58" customHeight="1">
      <x:c r="A24" s="14" t="str">
        <x:v>D3-6</x:v>
      </x:c>
      <x:c r="B24" s="14" t="n">
        <x:v>3</x:v>
      </x:c>
      <x:c r="C24" s="14" t="str">
        <x:v>Review and record</x:v>
      </x:c>
      <x:c r="D24" s="14" t="str">
        <x:v>Save route configuration and request collection. Explain gateway versus load balancer versus service discovery. Keep static service URLs for the required lab.</x:v>
      </x:c>
      <x:c r="E24" s="14" t="str">
        <x:v>Record route IDs and exact transformed paths. Eureka/discovery is an optional extension after the core lab.</x:v>
      </x:c>
      <x:c r="F24" s="16" t="n">
        <x:v>0.5</x:v>
      </x:c>
      <x:c r="G24" s="23" t="str">
        <x:v>Not started</x:v>
      </x:c>
      <x:c r="H24" s="23" t="str"/>
      <x:c r="I24" s="24"/>
      <x:c r="J24" s="14" t="str">
        <x:f>IF(G24="Done",IF(LEN(TRIM(H24))&gt;0,"Complete","Add evidence"),IF(G24="Blocked","Blocked",IF(G24="In progress","In progress","Not started")))</x:f>
        <x:v>Not started</x:v>
      </x:c>
    </x:row>
    <x:row r="25" ht="58" customHeight="1">
      <x:c r="A25" s="13" t="str">
        <x:v>D4-1</x:v>
      </x:c>
      <x:c r="B25" s="13" t="n">
        <x:v>4</x:v>
      </x:c>
      <x:c r="C25" s="13" t="str">
        <x:v>Core Java</x:v>
      </x:c>
      <x:c r="D25" s="13" t="str">
        <x:v>Build small Callable/ExecutorService tests showing timeout, cancellation and exception propagation. Separate validation exceptions from network failures. Shut down executors properly.</x:v>
      </x:c>
      <x:c r="E25" s="13" t="str">
        <x:v>Explain why a timeout does not undo a remote side effect, and why retries of a POST can create duplicates.</x:v>
      </x:c>
      <x:c r="F25" s="15" t="n">
        <x:v>0.75</x:v>
      </x:c>
      <x:c r="G25" s="23" t="str">
        <x:v>Not started</x:v>
      </x:c>
      <x:c r="H25" s="23" t="str"/>
      <x:c r="I25" s="24"/>
      <x:c r="J25" s="13" t="str">
        <x:f>IF(G25="Done",IF(LEN(TRIM(H25))&gt;0,"Complete","Add evidence"),IF(G25="Blocked","Blocked",IF(G25="In progress","In progress","Not started")))</x:f>
        <x:v>Not started</x:v>
      </x:c>
    </x:row>
    <x:row r="26" ht="58" customHeight="1">
      <x:c r="A26" s="14" t="str">
        <x:v>D4-2</x:v>
      </x:c>
      <x:c r="B26" s="14" t="n">
        <x:v>4</x:v>
      </x:c>
      <x:c r="C26" s="14" t="str">
        <x:v>Lessons and reading</x:v>
      </x:c>
      <x:c r="D26" s="14" t="str">
        <x:v>Watch 45m from L4 on service mocks and controller tests. Read P2 section 7.6.1 for 30m, then use D6 for the circuit-breaker configuration matching this lab.</x:v>
      </x:c>
      <x:c r="E26" s="14" t="str">
        <x:v>Write separate definitions of timeout, retry, circuit breaker and bulkhead. The LinkedIn course supplies testing technique, not a verified Resilience4j lesson.</x:v>
      </x:c>
      <x:c r="F26" s="16" t="n">
        <x:v>1.25</x:v>
      </x:c>
      <x:c r="G26" s="23" t="str">
        <x:v>Not started</x:v>
      </x:c>
      <x:c r="H26" s="23" t="str"/>
      <x:c r="I26" s="24"/>
      <x:c r="J26" s="14" t="str">
        <x:f>IF(G26="Done",IF(LEN(TRIM(H26))&gt;0,"Complete","Add evidence"),IF(G26="Blocked","Blocked",IF(G26="In progress","In progress","Not started")))</x:f>
        <x:v>Not started</x:v>
      </x:c>
    </x:row>
    <x:row r="27" ht="72" customHeight="1">
      <x:c r="A27" s="13" t="str">
        <x:v>D4-3</x:v>
      </x:c>
      <x:c r="B27" s="13" t="n">
        <x:v>4</x:v>
      </x:c>
      <x:c r="C27" s="13" t="str">
        <x:v>Build order creation</x:v>
      </x:c>
      <x:c r="D27" s="13" t="str">
        <x:v>Implement POST /orders with productId, quantity and Idempotency-Key. Fetch /products/{id}/price from product-service via RestClient; this authoritative endpoint bypasses product caches. Persist price/version snapshots and total.</x:v>
      </x:c>
      <x:c r="E27" s="13" t="str">
        <x:v>Valid order returns 201. Unknown product is rejected. Same key and same request returns the stored order; changed payload with same key is 409.</x:v>
      </x:c>
      <x:c r="F27" s="15" t="n">
        <x:v>2</x:v>
      </x:c>
      <x:c r="G27" s="23" t="str">
        <x:v>Not started</x:v>
      </x:c>
      <x:c r="H27" s="23" t="str"/>
      <x:c r="I27" s="24"/>
      <x:c r="J27" s="13" t="str">
        <x:f>IF(G27="Done",IF(LEN(TRIM(H27))&gt;0,"Complete","Add evidence"),IF(G27="Blocked","Blocked",IF(G27="In progress","In progress","Not started")))</x:f>
        <x:v>Not started</x:v>
      </x:c>
    </x:row>
    <x:row r="28" ht="72" customHeight="1">
      <x:c r="A28" s="14" t="str">
        <x:v>D4-4</x:v>
      </x:c>
      <x:c r="B28" s="14" t="n">
        <x:v>4</x:v>
      </x:c>
      <x:c r="C28" s="14" t="str">
        <x:v>Add circuit breaker</x:v>
      </x:c>
      <x:c r="D28" s="14" t="str">
        <x:v>Wrap the product client using the blocking Spring Cloud CircuitBreaker Resilience4j integration. Start with 500ms connect and 1s response timeouts, a 10-call window, minimum 10 calls, 50% failure threshold and 10s open wait.</x:v>
      </x:c>
      <x:c r="E28" s="14" t="str">
        <x:v>Configure three half-open trial calls. Classify network/5xx failures; do not count normal 4xx validation as an infrastructure outage. Return 503 when a trusted price is unavailable.</x:v>
      </x:c>
      <x:c r="F28" s="16" t="n">
        <x:v>2</x:v>
      </x:c>
      <x:c r="G28" s="23" t="str">
        <x:v>Not started</x:v>
      </x:c>
      <x:c r="H28" s="23" t="str"/>
      <x:c r="I28" s="24"/>
      <x:c r="J28" s="14" t="str">
        <x:f>IF(G28="Done",IF(LEN(TRIM(H28))&gt;0,"Complete","Add evidence"),IF(G28="Blocked","Blocked",IF(G28="In progress","In progress","Not started")))</x:f>
        <x:v>Not started</x:v>
      </x:c>
    </x:row>
    <x:row r="29" ht="58" customHeight="1">
      <x:c r="A29" s="13" t="str">
        <x:v>D4-5</x:v>
      </x:c>
      <x:c r="B29" s="13" t="n">
        <x:v>4</x:v>
      </x:c>
      <x:c r="C29" s="13" t="str">
        <x:v>Test failure and recovery</x:v>
      </x:c>
      <x:c r="D29" s="13" t="str">
        <x:v>Use a test stub for delays and 5xx responses. Prove CLOSED to OPEN to HALF_OPEN to CLOSED. Add at most one retry for transient GET failures at one layer only. Race duplicate order requests.</x:v>
      </x:c>
      <x:c r="E29" s="13" t="str">
        <x:v>An OPEN call makes no downstream request. Order row count remains one per key. Failures never create an order with a guessed or stale price.</x:v>
      </x:c>
      <x:c r="F29" s="15" t="n">
        <x:v>1.5</x:v>
      </x:c>
      <x:c r="G29" s="23" t="str">
        <x:v>Not started</x:v>
      </x:c>
      <x:c r="H29" s="23" t="str"/>
      <x:c r="I29" s="24"/>
      <x:c r="J29" s="13" t="str">
        <x:f>IF(G29="Done",IF(LEN(TRIM(H29))&gt;0,"Complete","Add evidence"),IF(G29="Blocked","Blocked",IF(G29="In progress","In progress","Not started")))</x:f>
        <x:v>Not started</x:v>
      </x:c>
    </x:row>
    <x:row r="30" ht="58" customHeight="1">
      <x:c r="A30" s="14" t="str">
        <x:v>D4-6</x:v>
      </x:c>
      <x:c r="B30" s="14" t="n">
        <x:v>4</x:v>
      </x:c>
      <x:c r="C30" s="14" t="str">
        <x:v>Review and record</x:v>
      </x:c>
      <x:c r="D30" s="14" t="str">
        <x:v>Capture breaker metrics and three sample responses. Explain total request budget, why timeouts are still needed with a breaker and how uncontrolled cache fallback can overload the database.</x:v>
      </x:c>
      <x:c r="E30" s="14" t="str">
        <x:v>Evidence includes state-transition test output and a written fallback policy.</x:v>
      </x:c>
      <x:c r="F30" s="16" t="n">
        <x:v>0.5</x:v>
      </x:c>
      <x:c r="G30" s="23" t="str">
        <x:v>Not started</x:v>
      </x:c>
      <x:c r="H30" s="23" t="str"/>
      <x:c r="I30" s="24"/>
      <x:c r="J30" s="14" t="str">
        <x:f>IF(G30="Done",IF(LEN(TRIM(H30))&gt;0,"Complete","Add evidence"),IF(G30="Blocked","Blocked",IF(G30="In progress","In progress","Not started")))</x:f>
        <x:v>Not started</x:v>
      </x:c>
    </x:row>
    <x:row r="31" ht="72" customHeight="1">
      <x:c r="A31" s="13" t="str">
        <x:v>D5-1</x:v>
      </x:c>
      <x:c r="B31" s="13" t="n">
        <x:v>5</x:v>
      </x:c>
      <x:c r="C31" s="13" t="str">
        <x:v>Core Java</x:v>
      </x:c>
      <x:c r="D31" s="13" t="str">
        <x:v>Define immutable event envelopes with UUID eventId, aggregateId, aggregateVersion, occurredAt, schemaVersion and payload. Serialize and deserialize JSON. Explain partition keys and thread-safety of listener state.</x:v>
      </x:c>
      <x:c r="E31" s="13" t="str">
        <x:v>Round-trip tests preserve BigDecimal price, IDs and version. Bad or unknown schemas are rejected explicitly.</x:v>
      </x:c>
      <x:c r="F31" s="15" t="n">
        <x:v>0.75</x:v>
      </x:c>
      <x:c r="G31" s="23" t="str">
        <x:v>Not started</x:v>
      </x:c>
      <x:c r="H31" s="23" t="str"/>
      <x:c r="I31" s="24"/>
      <x:c r="J31" s="13" t="str">
        <x:f>IF(G31="Done",IF(LEN(TRIM(H31))&gt;0,"Complete","Add evidence"),IF(G31="Blocked","Blocked",IF(G31="In progress","In progress","Not started")))</x:f>
        <x:v>Not started</x:v>
      </x:c>
    </x:row>
    <x:row r="32" ht="58" customHeight="1">
      <x:c r="A32" s="14" t="str">
        <x:v>D5-2</x:v>
      </x:c>
      <x:c r="B32" s="14" t="n">
        <x:v>5</x:v>
      </x:c>
      <x:c r="C32" s="14" t="str">
        <x:v>Lessons and reading</x:v>
      </x:c>
      <x:c r="D32" s="14" t="str">
        <x:v>Watch 45m from L5 on topics, partitions, consumer groups, offsets and Java clients. Read P3 chapter 4 Beyond Messaging for 30m. Use D7 for current KRaft setup and D8 for Spring error handling.</x:v>
      </x:c>
      <x:c r="E32" s="14" t="str">
        <x:v>Explain offsets versus eventId, and why consumers in one group divide work instead of broadcasting to every replica.</x:v>
      </x:c>
      <x:c r="F32" s="16" t="n">
        <x:v>1.25</x:v>
      </x:c>
      <x:c r="G32" s="23" t="str">
        <x:v>Not started</x:v>
      </x:c>
      <x:c r="H32" s="23" t="str"/>
      <x:c r="I32" s="24"/>
      <x:c r="J32" s="14" t="str">
        <x:f>IF(G32="Done",IF(LEN(TRIM(H32))&gt;0,"Complete","Add evidence"),IF(G32="Blocked","Blocked",IF(G32="In progress","In progress","Not started")))</x:f>
        <x:v>Not started</x:v>
      </x:c>
    </x:row>
    <x:row r="33" ht="72" customHeight="1">
      <x:c r="A33" s="13" t="str">
        <x:v>D5-3</x:v>
      </x:c>
      <x:c r="B33" s="13" t="n">
        <x:v>5</x:v>
      </x:c>
      <x:c r="C33" s="13" t="str">
        <x:v>Build producers and topics</x:v>
      </x:c>
      <x:c r="D33" s="13" t="str">
        <x:v>Start local Kafka in KRaft mode. Create catalog.product.changed.v1 and order.created.v1 with three partitions plus matching DLTs. Add KafkaTemplate publication and @KafkaListener consumption to the services.</x:v>
      </x:c>
      <x:c r="E33" s="13" t="str">
        <x:v>Catalog changes use productId as key; order events use orderId. Wait for send acknowledgement and log eventId. Day 5 direct DB-plus-send is an experiment; Day 6 adds durability.</x:v>
      </x:c>
      <x:c r="F33" s="15" t="n">
        <x:v>2</x:v>
      </x:c>
      <x:c r="G33" s="23" t="str">
        <x:v>Not started</x:v>
      </x:c>
      <x:c r="H33" s="23" t="str"/>
      <x:c r="I33" s="24"/>
      <x:c r="J33" s="13" t="str">
        <x:f>IF(G33="Done",IF(LEN(TRIM(H33))&gt;0,"Complete","Add evidence"),IF(G33="Blocked","Blocked",IF(G33="In progress","In progress","Not started")))</x:f>
        <x:v>Not started</x:v>
      </x:c>
    </x:row>
    <x:row r="34" ht="72" customHeight="1">
      <x:c r="A34" s="14" t="str">
        <x:v>D5-4</x:v>
      </x:c>
      <x:c r="B34" s="14" t="n">
        <x:v>5</x:v>
      </x:c>
      <x:c r="C34" s="14" t="str">
        <x:v>Build consumers</x:v>
      </x:c>
      <x:c r="D34" s="14" t="str">
        <x:v>Have order-service consume product changes. Have a catalog audit consumer consume order.created events into a separate audit table owned by product-service. Configure DefaultErrorHandler and DeadLetterPublishingRecoverer.</x:v>
      </x:c>
      <x:c r="E34" s="14" t="str">
        <x:v>Use two retries at 1s intervals before DLT for a retriable test error. Permanent validation errors go to DLT without retries. DLT preserves original key and failure information.</x:v>
      </x:c>
      <x:c r="F34" s="16" t="n">
        <x:v>2</x:v>
      </x:c>
      <x:c r="G34" s="23" t="str">
        <x:v>Not started</x:v>
      </x:c>
      <x:c r="H34" s="23" t="str"/>
      <x:c r="I34" s="24"/>
      <x:c r="J34" s="14" t="str">
        <x:f>IF(G34="Done",IF(LEN(TRIM(H34))&gt;0,"Complete","Add evidence"),IF(G34="Blocked","Blocked",IF(G34="In progress","In progress","Not started")))</x:f>
        <x:v>Not started</x:v>
      </x:c>
    </x:row>
    <x:row r="35" ht="58" customHeight="1">
      <x:c r="A35" s="13" t="str">
        <x:v>D5-5</x:v>
      </x:c>
      <x:c r="B35" s="13" t="n">
        <x:v>5</x:v>
      </x:c>
      <x:c r="C35" s="13" t="str">
        <x:v>Test groups and duplicates</x:v>
      </x:c>
      <x:c r="D35" s="13" t="str">
        <x:v>Start two consumers in the same group, then a second independent group. Publish duplicates and a poison record. Stop and restart a consumer. Measure what is redelivered.</x:v>
      </x:c>
      <x:c r="E35" s="13" t="str">
        <x:v>Show work sharing within a group and independent delivery across groups. Poison records reach DLT. Demonstrate why offsets alone do not prevent duplicate DB side effects.</x:v>
      </x:c>
      <x:c r="F35" s="15" t="n">
        <x:v>1.5</x:v>
      </x:c>
      <x:c r="G35" s="23" t="str">
        <x:v>Not started</x:v>
      </x:c>
      <x:c r="H35" s="23" t="str"/>
      <x:c r="I35" s="24"/>
      <x:c r="J35" s="13" t="str">
        <x:f>IF(G35="Done",IF(LEN(TRIM(H35))&gt;0,"Complete","Add evidence"),IF(G35="Blocked","Blocked",IF(G35="In progress","In progress","Not started")))</x:f>
        <x:v>Not started</x:v>
      </x:c>
    </x:row>
    <x:row r="36" ht="58" customHeight="1">
      <x:c r="A36" s="14" t="str">
        <x:v>D5-6</x:v>
      </x:c>
      <x:c r="B36" s="14" t="n">
        <x:v>5</x:v>
      </x:c>
      <x:c r="C36" s="14" t="str">
        <x:v>Review and record</x:v>
      </x:c>
      <x:c r="D36" s="14" t="str">
        <x:v>Document topic, key, partitions, group, schema, retry and DLT policy. Record the crash window between a DB commit and direct Kafka send.</x:v>
      </x:c>
      <x:c r="E36" s="14" t="str">
        <x:v>Evidence contains topic descriptions, event samples and consumer logs. Do not label this pipeline universally exactly-once.</x:v>
      </x:c>
      <x:c r="F36" s="16" t="n">
        <x:v>0.5</x:v>
      </x:c>
      <x:c r="G36" s="23" t="str">
        <x:v>Not started</x:v>
      </x:c>
      <x:c r="H36" s="23" t="str"/>
      <x:c r="I36" s="24"/>
      <x:c r="J36" s="14" t="str">
        <x:f>IF(G36="Done",IF(LEN(TRIM(H36))&gt;0,"Complete","Add evidence"),IF(G36="Blocked","Blocked",IF(G36="In progress","In progress","Not started")))</x:f>
        <x:v>Not started</x:v>
      </x:c>
    </x:row>
    <x:row r="37" ht="72" customHeight="1">
      <x:c r="A37" s="13" t="str">
        <x:v>D6-1</x:v>
      </x:c>
      <x:c r="B37" s="13" t="n">
        <x:v>6</x:v>
      </x:c>
      <x:c r="C37" s="13" t="str">
        <x:v>Core Java</x:v>
      </x:c>
      <x:c r="D37" s="13" t="str">
        <x:v>Write race tests for stale cache refill and competing duplicate event inserts. Compare event versions. Practise transaction boundaries and database unique constraints instead of relying on in-memory deduplication.</x:v>
      </x:c>
      <x:c r="E37" s="13" t="str">
        <x:v>Explain a read-old-value / commit / invalidate / late-cache-put race. Distinguish version monotonicity from event timestamp ordering.</x:v>
      </x:c>
      <x:c r="F37" s="15" t="n">
        <x:v>0.75</x:v>
      </x:c>
      <x:c r="G37" s="23" t="str">
        <x:v>Not started</x:v>
      </x:c>
      <x:c r="H37" s="23" t="str"/>
      <x:c r="I37" s="24"/>
      <x:c r="J37" s="13" t="str">
        <x:f>IF(G37="Done",IF(LEN(TRIM(H37))&gt;0,"Complete","Add evidence"),IF(G37="Blocked","Blocked",IF(G37="In progress","In progress","Not started")))</x:f>
        <x:v>Not started</x:v>
      </x:c>
    </x:row>
    <x:row r="38" ht="58" customHeight="1">
      <x:c r="A38" s="14" t="str">
        <x:v>D6-2</x:v>
      </x:c>
      <x:c r="B38" s="14" t="n">
        <x:v>6</x:v>
      </x:c>
      <x:c r="C38" s="14" t="str">
        <x:v>Lessons and reading</x:v>
      </x:c>
      <x:c r="D38" s="14" t="str">
        <x:v>Watch 45m from L7 on acknowledgements, commits and resiliency. Read selected parts of P3 chapters 11 and 12 for 30m. Use D3/D9 to distinguish after-commit callbacks from durable messaging.</x:v>
      </x:c>
      <x:c r="E38" s="14" t="str">
        <x:v>Explain why Kafka transactions do not make an arbitrary PostgreSQL change and HTTP request atomic.</x:v>
      </x:c>
      <x:c r="F38" s="16" t="n">
        <x:v>1.25</x:v>
      </x:c>
      <x:c r="G38" s="23" t="str">
        <x:v>Not started</x:v>
      </x:c>
      <x:c r="H38" s="23" t="str"/>
      <x:c r="I38" s="24"/>
      <x:c r="J38" s="14" t="str">
        <x:f>IF(G38="Done",IF(LEN(TRIM(H38))&gt;0,"Complete","Add evidence"),IF(G38="Blocked","Blocked",IF(G38="In progress","In progress","Not started")))</x:f>
        <x:v>Not started</x:v>
      </x:c>
    </x:row>
    <x:row r="39" ht="72" customHeight="1">
      <x:c r="A39" s="13" t="str">
        <x:v>D6-3</x:v>
      </x:c>
      <x:c r="B39" s="13" t="n">
        <x:v>6</x:v>
      </x:c>
      <x:c r="C39" s="13" t="str">
        <x:v>Build transactional outbox</x:v>
      </x:c>
      <x:c r="D39" s="13" t="str">
        <x:v>Add an outbox table to each publishing service database. Write business row and event in the same DB transaction. Implement one lab relay worker per service; publish, wait for acknowledgement, then mark SENT.</x:v>
      </x:c>
      <x:c r="E39" s="13" t="str">
        <x:v>With Kafka stopped, business update plus pending outbox persists. On restart the relay drains pending rows. Crash after send but before SENT may duplicate, not silently lose, an event.</x:v>
      </x:c>
      <x:c r="F39" s="15" t="n">
        <x:v>2</x:v>
      </x:c>
      <x:c r="G39" s="23" t="str">
        <x:v>Not started</x:v>
      </x:c>
      <x:c r="H39" s="23" t="str"/>
      <x:c r="I39" s="24"/>
      <x:c r="J39" s="13" t="str">
        <x:f>IF(G39="Done",IF(LEN(TRIM(H39))&gt;0,"Complete","Add evidence"),IF(G39="Blocked","Blocked",IF(G39="In progress","In progress","Not started")))</x:f>
        <x:v>Not started</x:v>
      </x:c>
    </x:row>
    <x:row r="40" ht="72" customHeight="1">
      <x:c r="A40" s="14" t="str">
        <x:v>D6-4</x:v>
      </x:c>
      <x:c r="B40" s="14" t="n">
        <x:v>6</x:v>
      </x:c>
      <x:c r="C40" s="14" t="str">
        <x:v>Build shared invalidation and deduplication</x:v>
      </x:c>
      <x:c r="D40" s="14" t="str">
        <x:v>Add a display-only product quote cache owned by order-service in Coherence. A product-change consumer evicts its shared entry. Deduplicate audit effects using unique (consumerName,eventId) plus the business effect in one DB transaction.</x:v>
      </x:c>
      <x:c r="E40" s="14" t="str">
        <x:v>Two order replicas see shared invalidation even though only one consumer handles the partition. Replaying an event does not increment the audit count again.</x:v>
      </x:c>
      <x:c r="F40" s="16" t="n">
        <x:v>2</x:v>
      </x:c>
      <x:c r="G40" s="23" t="str">
        <x:v>Not started</x:v>
      </x:c>
      <x:c r="H40" s="23" t="str"/>
      <x:c r="I40" s="24"/>
      <x:c r="J40" s="14" t="str">
        <x:f>IF(G40="Done",IF(LEN(TRIM(H40))&gt;0,"Complete","Add evidence"),IF(G40="Blocked","Blocked",IF(G40="In progress","In progress","Not started")))</x:f>
        <x:v>Not started</x:v>
      </x:c>
    </x:row>
    <x:row r="41" ht="72" customHeight="1">
      <x:c r="A41" s="13" t="str">
        <x:v>D6-5</x:v>
      </x:c>
      <x:c r="B41" s="13" t="n">
        <x:v>6</x:v>
      </x:c>
      <x:c r="C41" s="13" t="str">
        <x:v>Test consistency limits</x:v>
      </x:c>
      <x:c r="D41" s="13" t="str">
        <x:v>Warm quote caches, update a product, pause consumption and observe stale display data. Resume and measure convergence. Deliver an old event after a new one. Force the late-refill race and test the TTL safety net.</x:v>
      </x:c>
      <x:c r="E41" s="13" t="str">
        <x:v>Out-of-order events never overwrite newer prices: invalidate rather than writing old payloads. Checkout always uses authoritative /price. Record observed convergence, not a claim of global strong consistency.</x:v>
      </x:c>
      <x:c r="F41" s="15" t="n">
        <x:v>1.5</x:v>
      </x:c>
      <x:c r="G41" s="23" t="str">
        <x:v>Not started</x:v>
      </x:c>
      <x:c r="H41" s="23" t="str"/>
      <x:c r="I41" s="24"/>
      <x:c r="J41" s="13" t="str">
        <x:f>IF(G41="Done",IF(LEN(TRIM(H41))&gt;0,"Complete","Add evidence"),IF(G41="Blocked","Blocked",IF(G41="In progress","In progress","Not started")))</x:f>
        <x:v>Not started</x:v>
      </x:c>
    </x:row>
    <x:row r="42" ht="58" customHeight="1">
      <x:c r="A42" s="14" t="str">
        <x:v>D6-6</x:v>
      </x:c>
      <x:c r="B42" s="14" t="n">
        <x:v>6</x:v>
      </x:c>
      <x:c r="C42" s="14" t="str">
        <x:v>Review and record</x:v>
      </x:c>
      <x:c r="D42" s="14" t="str">
        <x:v>Write a failure matrix for cache down, Kafka down, DB down, duplicate event and stale read. Describe restart behaviour and a future CDC relay or version-aware cache-fill improvement.</x:v>
      </x:c>
      <x:c r="E42" s="14" t="str">
        <x:v>Evidence includes broker-outage recovery, duplicate audit test and two-replica cache test.</x:v>
      </x:c>
      <x:c r="F42" s="16" t="n">
        <x:v>0.5</x:v>
      </x:c>
      <x:c r="G42" s="23" t="str">
        <x:v>Not started</x:v>
      </x:c>
      <x:c r="H42" s="23" t="str"/>
      <x:c r="I42" s="24"/>
      <x:c r="J42" s="14" t="str">
        <x:f>IF(G42="Done",IF(LEN(TRIM(H42))&gt;0,"Complete","Add evidence"),IF(G42="Blocked","Blocked",IF(G42="In progress","In progress","Not started")))</x:f>
        <x:v>Not started</x:v>
      </x:c>
    </x:row>
    <x:row r="43" ht="58" customHeight="1">
      <x:c r="A43" s="13" t="str">
        <x:v>D7-1</x:v>
      </x:c>
      <x:c r="B43" s="13" t="n">
        <x:v>7</x:v>
      </x:c>
      <x:c r="C43" s="13" t="str">
        <x:v>Core Java</x:v>
      </x:c>
      <x:c r="D43" s="13" t="str">
        <x:v>Review try-with-resources, lifecycle cleanup, thread pools and environment configuration in your services. Remove unused executors and ensure health checks reflect required dependencies.</x:v>
      </x:c>
      <x:c r="E43" s="13" t="str">
        <x:v>Explain how a blocked consumer, slow database or exhausted pool appears in logs and metrics. No leaked client or executor remains after shutdown.</x:v>
      </x:c>
      <x:c r="F43" s="15" t="n">
        <x:v>0.75</x:v>
      </x:c>
      <x:c r="G43" s="23" t="str">
        <x:v>Not started</x:v>
      </x:c>
      <x:c r="H43" s="23" t="str"/>
      <x:c r="I43" s="24"/>
      <x:c r="J43" s="13" t="str">
        <x:f>IF(G43="Done",IF(LEN(TRIM(H43))&gt;0,"Complete","Add evidence"),IF(G43="Blocked","Blocked",IF(G43="In progress","In progress","Not started")))</x:f>
        <x:v>Not started</x:v>
      </x:c>
    </x:row>
    <x:row r="44" ht="58" customHeight="1">
      <x:c r="A44" s="14" t="str">
        <x:v>D7-2</x:v>
      </x:c>
      <x:c r="B44" s="14" t="n">
        <x:v>7</x:v>
      </x:c>
      <x:c r="C44" s="14" t="str">
        <x:v>Lessons and reading</x:v>
      </x:c>
      <x:c r="D44" s="14" t="str">
        <x:v>Watch 45m total from L3 Docker/Compose and L6 Jenkins pipeline sections. Read P2 quickstart and remote/cluster setup sections for 30m. Consult D10 for health-based dependency startup.</x:v>
      </x:c>
      <x:c r="E44" s="14" t="str">
        <x:v>Sketch the Docker network, client versus storage roles, Kafka advertised listeners and which ports are exposed only locally.</x:v>
      </x:c>
      <x:c r="F44" s="16" t="n">
        <x:v>1.25</x:v>
      </x:c>
      <x:c r="G44" s="23" t="str">
        <x:v>Not started</x:v>
      </x:c>
      <x:c r="H44" s="23" t="str"/>
      <x:c r="I44" s="24"/>
      <x:c r="J44" s="14" t="str">
        <x:f>IF(G44="Done",IF(LEN(TRIM(H44))&gt;0,"Complete","Add evidence"),IF(G44="Blocked","Blocked",IF(G44="In progress","In progress","Not started")))</x:f>
        <x:v>Not started</x:v>
      </x:c>
    </x:row>
    <x:row r="45" ht="72" customHeight="1">
      <x:c r="A45" s="13" t="str">
        <x:v>D7-3</x:v>
      </x:c>
      <x:c r="B45" s="13" t="n">
        <x:v>7</x:v>
      </x:c>
      <x:c r="C45" s="13" t="str">
        <x:v>Package and deploy</x:v>
      </x:c>
      <x:c r="D45" s="13" t="str">
        <x:v>Produce executable bootJar artifacts and version-tagged images. Write Docker Compose for router-api, product-service, order-service, two databases, Kafka and two Coherence storage members. Apps use the sample-supported client configuration.</x:v>
      </x:c>
      <x:c r="E45" s="13" t="str">
        <x:v>Health checks pass; gateway on localhost:8080 reaches services by Compose DNS. Data survives container restart. No production credentials or public management endpoints.</x:v>
      </x:c>
      <x:c r="F45" s="15" t="n">
        <x:v>2</x:v>
      </x:c>
      <x:c r="G45" s="23" t="str">
        <x:v>Not started</x:v>
      </x:c>
      <x:c r="H45" s="23" t="str"/>
      <x:c r="I45" s="24"/>
      <x:c r="J45" s="13" t="str">
        <x:f>IF(G45="Done",IF(LEN(TRIM(H45))&gt;0,"Complete","Add evidence"),IF(G45="Blocked","Blocked",IF(G45="In progress","In progress","Not started")))</x:f>
        <x:v>Not started</x:v>
      </x:c>
    </x:row>
    <x:row r="46" ht="72" customHeight="1">
      <x:c r="A46" s="14" t="str">
        <x:v>D7-4</x:v>
      </x:c>
      <x:c r="B46" s="14" t="n">
        <x:v>7</x:v>
      </x:c>
      <x:c r="C46" s="14" t="str">
        <x:v>Build release pipeline</x:v>
      </x:c>
      <x:c r="D46" s="14" t="str">
        <x:v>Write Jenkinsfile stages for checkout, tests, bootJar, image build, local deployment and smoke tests. Archive JUnit results and immutable artifact/image tags. Run equivalent local commands if no Jenkins agent is available.</x:v>
      </x:c>
      <x:c r="E46" s="14" t="str">
        <x:v>A failing test stops the pipeline. Deploy v2, then restore v1 using its saved image tag. Do not make an incompatible database migration for the rollback exercise.</x:v>
      </x:c>
      <x:c r="F46" s="16" t="n">
        <x:v>2</x:v>
      </x:c>
      <x:c r="G46" s="23" t="str">
        <x:v>Not started</x:v>
      </x:c>
      <x:c r="H46" s="23" t="str"/>
      <x:c r="I46" s="24"/>
      <x:c r="J46" s="14" t="str">
        <x:f>IF(G46="Done",IF(LEN(TRIM(H46))&gt;0,"Complete","Add evidence"),IF(G46="Blocked","Blocked",IF(G46="In progress","In progress","Not started")))</x:f>
        <x:v>Not started</x:v>
      </x:c>
    </x:row>
    <x:row r="47" ht="58" customHeight="1">
      <x:c r="A47" s="13" t="str">
        <x:v>D7-5</x:v>
      </x:c>
      <x:c r="B47" s="13" t="n">
        <x:v>7</x:v>
      </x:c>
      <x:c r="C47" s="13" t="str">
        <x:v>Run final acceptance</x:v>
      </x:c>
      <x:c r="D47" s="13" t="str">
        <x:v>Run the Deploy and Test scenarios: route checks, cache hit/miss and node loss, breaker recovery, Kafka replay/DLT, outbox recovery, duplicate POST and persistence restart.</x:v>
      </x:c>
      <x:c r="E47" s="13" t="str">
        <x:v>All required scenarios have saved evidence; unresolved failures are Blocked, not Done. Record actual timing and investigate failures.</x:v>
      </x:c>
      <x:c r="F47" s="15" t="n">
        <x:v>1.5</x:v>
      </x:c>
      <x:c r="G47" s="23" t="str">
        <x:v>Not started</x:v>
      </x:c>
      <x:c r="H47" s="23" t="str"/>
      <x:c r="I47" s="24"/>
      <x:c r="J47" s="13" t="str">
        <x:f>IF(G47="Done",IF(LEN(TRIM(H47))&gt;0,"Complete","Add evidence"),IF(G47="Blocked","Blocked",IF(G47="In progress","In progress","Not started")))</x:f>
        <x:v>Not started</x:v>
      </x:c>
    </x:row>
    <x:row r="48" ht="58" customHeight="1">
      <x:c r="A48" s="14" t="str">
        <x:v>D7-6</x:v>
      </x:c>
      <x:c r="B48" s="14" t="n">
        <x:v>7</x:v>
      </x:c>
      <x:c r="C48" s="14" t="str">
        <x:v>Demonstrate and plan next work</x:v>
      </x:c>
      <x:c r="D48" s="14" t="str">
        <x:v>Give a 10-minute walkthrough without notes: request path, cache owner, consistency limits, breaker policy, Kafka key/group semantics and rollback. List three weak areas to revisit.</x:v>
      </x:c>
      <x:c r="E48" s="14" t="str">
        <x:v>Save README, architecture sketch, API collection, test reports and commit ID. Next week: supported-version upgrade, auth/TLS and multi-broker Kafka; not a mastery claim.</x:v>
      </x:c>
      <x:c r="F48" s="16" t="n">
        <x:v>0.5</x:v>
      </x:c>
      <x:c r="G48" s="23" t="str">
        <x:v>Not started</x:v>
      </x:c>
      <x:c r="H48" s="23" t="str"/>
      <x:c r="I48" s="24"/>
      <x:c r="J48" s="14" t="str">
        <x:f>IF(G48="Done",IF(LEN(TRIM(H48))&gt;0,"Complete","Add evidence"),IF(G48="Blocked","Blocked",IF(G48="In progress","In progress","Not started")))</x:f>
        <x:v>Not started</x:v>
      </x:c>
    </x:row>
  </x:sheetData>
  <x:conditionalFormatting sqref="J7:J48">
    <x:cfRule type="containsText" dxfId="1" priority="1" operator="containsText" text="Add evidence"/>
  </x:conditionalFormatting>
  <x:conditionalFormatting sqref="G7:G48">
    <x:cfRule type="containsText" dxfId="2" priority="2" operator="containsText" text="Blocked"/>
  </x:conditionalFormatting>
  <x:dataValidations count="2">
    <x:dataValidation type="list" sqref="G7:G48">
      <x:formula1>"Not started,In progress,Blocked,Done"</x:formula1>
    </x:dataValidation>
    <x:dataValidation type="decimal" operator="between" sqref="I7:I48">
      <x:formula1>0</x:formula1>
      <x:formula2>24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d99854ab1a984d45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9" hidden="0" customWidth="1"/>
    <x:col min="2" max="2" width="25" hidden="0" customWidth="1"/>
    <x:col min="3" max="3" width="66.25" hidden="0" customWidth="1"/>
    <x:col min="4" max="4" width="65" hidden="0" customWidth="1"/>
    <x:col min="5" max="5" width="28.75" hidden="0" customWidth="1"/>
  </x:cols>
  <x:sheetData>
    <x:row r="1" ht="9" customHeight="1">
      <x:c r="A1" s="2"/>
      <x:c r="B1" s="2"/>
      <x:c r="C1" s="2"/>
      <x:c r="D1" s="2"/>
      <x:c r="E1" s="2"/>
    </x:row>
    <x:row r="2" ht="28" customHeight="1">
      <x:c r="A2" s="3" t="str">
        <x:v>Service Contracts and Lab Requirements</x:v>
      </x:c>
      <x:c r="B2" s="2"/>
      <x:c r="C2" s="2"/>
      <x:c r="D2" s="2"/>
      <x:c r="E2" s="2"/>
    </x:row>
    <x:row r="3" ht="8" customHeight="1">
      <x:c r="A3" s="4"/>
      <x:c r="B3" s="4"/>
      <x:c r="C3" s="4"/>
      <x:c r="D3" s="4"/>
      <x:c r="E3" s="4"/>
    </x:row>
    <x:row r="4">
      <x:c r="A4" s="2" t="str">
        <x:v>Implementation requirements for the same product-and-order project throughout the week.</x:v>
      </x:c>
      <x:c r="B4" s="2"/>
      <x:c r="C4" s="2"/>
      <x:c r="D4" s="2"/>
      <x:c r="E4" s="2"/>
    </x:row>
    <x:row r="5">
      <x:c r="A5" s="2" t="str">
        <x:v>router-api means an API gateway here. Oracle Coherence and cache consistency are both required.</x:v>
      </x:c>
      <x:c r="B5" s="2"/>
      <x:c r="C5" s="2"/>
      <x:c r="D5" s="2"/>
      <x:c r="E5" s="2"/>
    </x:row>
    <x:row r="6" ht="35" customHeight="1">
      <x:c r="A6" s="12" t="str">
        <x:v>ID</x:v>
      </x:c>
      <x:c r="B6" s="12" t="str">
        <x:v>Area</x:v>
      </x:c>
      <x:c r="C6" s="12" t="str">
        <x:v>Requirement</x:v>
      </x:c>
      <x:c r="D6" s="12" t="str">
        <x:v>Expected behaviour / boundary</x:v>
      </x:c>
      <x:c r="E6" s="12" t="str">
        <x:v>Reference</x:v>
      </x:c>
    </x:row>
    <x:row r="7" ht="44" customHeight="1">
      <x:c r="A7" s="13" t="str">
        <x:v>S01</x:v>
      </x:c>
      <x:c r="B7" s="13" t="str">
        <x:v>Project boundary</x:v>
      </x:c>
      <x:c r="C7" s="13" t="str">
        <x:v>Build product-service, order-service and router-api. No payment processing, stock reservations or real customer data.</x:v>
      </x:c>
      <x:c r="D7" s="13" t="str">
        <x:v>A purchase records a product price snapshot and quantity; it does not promise inventory reservation.</x:v>
      </x:c>
      <x:c r="E7" s="13" t="str">
        <x:v>Required scope</x:v>
      </x:c>
    </x:row>
    <x:row r="8" ht="44" customHeight="1">
      <x:c r="A8" s="14" t="str">
        <x:v>S02</x:v>
      </x:c>
      <x:c r="B8" s="14" t="str">
        <x:v>Version set</x:v>
      </x:c>
      <x:c r="C8" s="14" t="str">
        <x:v>Java 21; Spring Boot 3.5.0; Spring Cloud BOM 2025.0.0; Coherence Spring 4.3.1; Coherence CE 25.03.1.</x:v>
      </x:c>
      <x:c r="D8" s="14" t="str">
        <x:v>This matches the upstream V1 reference integration. Use its generated/sample wrapper; do not mix in Boot 4 dependencies.</x:v>
      </x:c>
      <x:c r="E8" s="14" t="str">
        <x:v>V1, V2, P2</x:v>
      </x:c>
    </x:row>
    <x:row r="9" ht="44" customHeight="1">
      <x:c r="A9" s="13" t="str">
        <x:v>S03</x:v>
      </x:c>
      <x:c r="B9" s="13" t="str">
        <x:v>Version safety</x:v>
      </x:c>
      <x:c r="C9" s="13" t="str">
        <x:v>Historical compatibility-learning baseline only. Cloud 2025.0.x is outside OSS support. Bind lab ports locally and use synthetic data.</x:v>
      </x:c>
      <x:c r="D9" s="13" t="str">
        <x:v>Before any real deployment, move to a currently supported, verified Boot/Cloud/Coherence combination and scan dependencies.</x:v>
      </x:c>
      <x:c r="E9" s="13" t="str">
        <x:v>V2</x:v>
      </x:c>
    </x:row>
    <x:row r="10" ht="44" customHeight="1">
      <x:c r="A10" s="14" t="str">
        <x:v>S04</x:v>
      </x:c>
      <x:c r="B10" s="14" t="str">
        <x:v>Build ownership</x:v>
      </x:c>
      <x:c r="C10" s="14" t="str">
        <x:v>Keep separate Gradle projects and wrappers. Let Boot manage Spring Kafka/JPA dependencies and Cloud manage Gateway/CircuitBreaker.</x:v>
      </x:c>
      <x:c r="D10" s="14" t="str">
        <x:v>Set each bootJar archiveFileName to product-service.jar, order-service.jar or router-api.jar for the runbook commands.</x:v>
      </x:c>
      <x:c r="E10" s="14" t="str">
        <x:v>D1, V1</x:v>
      </x:c>
    </x:row>
    <x:row r="11" ht="44" customHeight="1">
      <x:c r="A11" s="13" t="str">
        <x:v>S05</x:v>
      </x:c>
      <x:c r="B11" s="13" t="str">
        <x:v>Ports and stores</x:v>
      </x:c>
      <x:c r="C11" s="13" t="str">
        <x:v>router-api 8080; product 8081, replica 8083; order 8082, replica 8084. Product and order own separate PostgreSQL databases.</x:v>
      </x:c>
      <x:c r="D11" s="13" t="str">
        <x:v>Replicas of one service share its database. Services never query the other service database directly.</x:v>
      </x:c>
      <x:c r="E11" s="13" t="str">
        <x:v>Local lab design</x:v>
      </x:c>
    </x:row>
    <x:row r="12" ht="44" customHeight="1">
      <x:c r="A12" s="14" t="str">
        <x:v>S06</x:v>
      </x:c>
      <x:c r="B12" s="14" t="str">
        <x:v>Coherence topology</x:v>
      </x:c>
      <x:c r="C12" s="14" t="str">
        <x:v>Use a named local cluster and two storage members with backups. App clients use the matching sample-supported remote/client configuration.</x:v>
      </x:c>
      <x:c r="D12" s="14" t="str">
        <x:v>Separate cache names products and order-product-quotes. Same app replicas share the same named cache, not unrelated cluster names.</x:v>
      </x:c>
      <x:c r="E12" s="14" t="str">
        <x:v>P2, V3</x:v>
      </x:c>
    </x:row>
    <x:row r="13" ht="44" customHeight="1">
      <x:c r="A13" s="13" t="str">
        <x:v>S07</x:v>
      </x:c>
      <x:c r="B13" s="13" t="str">
        <x:v>Product model</x:v>
      </x:c>
      <x:c r="C13" s="13" t="str">
        <x:v>productId String; name String; unitPrice BigDecimal; currency INR; version long. Start with P100, Training Racket, 499.50, version 1.</x:v>
      </x:c>
      <x:c r="D13" s="13" t="str">
        <x:v>Price positive, name nonblank. Version increments on change. Use optimistic locking for conflicting updates.</x:v>
      </x:c>
      <x:c r="E13" s="13" t="str">
        <x:v>Synthetic practice data</x:v>
      </x:c>
    </x:row>
    <x:row r="14" ht="44" customHeight="1">
      <x:c r="A14" s="14" t="str">
        <x:v>S08</x:v>
      </x:c>
      <x:c r="B14" s="14" t="str">
        <x:v>POST /products</x:v>
      </x:c>
      <x:c r="C14" s="14" t="str">
        <x:v>Body: {"productId":"P100","name":"Training Racket","unitPrice":499.50,"currency":"INR"}.</x:v>
      </x:c>
      <x:c r="D14" s="14" t="str">
        <x:v>201 + Location and DTO. Existing ID 409; malformed or invalid payload 400.</x:v>
      </x:c>
      <x:c r="E14" s="14" t="str">
        <x:v>Product service</x:v>
      </x:c>
    </x:row>
    <x:row r="15" ht="44" customHeight="1">
      <x:c r="A15" s="13" t="str">
        <x:v>S09</x:v>
      </x:c>
      <x:c r="B15" s="13" t="str">
        <x:v>GET /products/{id}</x:v>
      </x:c>
      <x:c r="C15" s="13" t="str">
        <x:v>Read through selected cache profile; return product and version. GET /products supports a bounded page size.</x:v>
      </x:c>
      <x:c r="D15" s="13" t="str">
        <x:v>200 for P100, 404 if missing. Cache stores DTOs, not attached JPA entities.</x:v>
      </x:c>
      <x:c r="E15" s="13" t="str">
        <x:v>Product service</x:v>
      </x:c>
    </x:row>
    <x:row r="16" ht="44" customHeight="1">
      <x:c r="A16" s="14" t="str">
        <x:v>S10</x:v>
      </x:c>
      <x:c r="B16" s="14" t="str">
        <x:v>PUT /products/{id}</x:v>
      </x:c>
      <x:c r="C16" s="14" t="str">
        <x:v>Update fields using expected version. Commit database change, then invalidate owned product cache. Add outbox event on Day 6.</x:v>
      </x:c>
      <x:c r="D16" s="14" t="str">
        <x:v>200 with incremented version; stale expected version 409. Rolled-back updates must not emit success events.</x:v>
      </x:c>
      <x:c r="E16" s="14" t="str">
        <x:v>Product service</x:v>
      </x:c>
    </x:row>
    <x:row r="17" ht="44" customHeight="1">
      <x:c r="A17" s="13" t="str">
        <x:v>S11</x:v>
      </x:c>
      <x:c r="B17" s="13" t="str">
        <x:v>GET /products/{id}/price</x:v>
      </x:c>
      <x:c r="C17" s="13" t="str">
        <x:v>Authoritative price lookup for order creation, bypassing cache. Return productId, unitPrice, currency and version.</x:v>
      </x:c>
      <x:c r="D17" s="13" t="str">
        <x:v>Never invent a price on timeout. An order stores this returned snapshot, not a global transaction with later product changes.</x:v>
      </x:c>
      <x:c r="E17" s="13" t="str">
        <x:v>Internal service call</x:v>
      </x:c>
    </x:row>
    <x:row r="18" ht="44" customHeight="1">
      <x:c r="A18" s="14" t="str">
        <x:v>S12</x:v>
      </x:c>
      <x:c r="B18" s="14" t="str">
        <x:v>POST /orders</x:v>
      </x:c>
      <x:c r="C18" s="14" t="str">
        <x:v>Body {"productId":"P100","quantity":2}; header Idempotency-Key: order-demo-001. Fetch authoritative price through the resilient client.</x:v>
      </x:c>
      <x:c r="D18" s="14" t="str">
        <x:v>201 for new order; 200 for identical replay; 409 for same key with different payload; 400 invalid quantity; 503 unavailable price.</x:v>
      </x:c>
      <x:c r="E18" s="14" t="str">
        <x:v>Unique DB key + request fingerprint</x:v>
      </x:c>
    </x:row>
    <x:row r="19" ht="44" customHeight="1">
      <x:c r="A19" s="13" t="str">
        <x:v>S13</x:v>
      </x:c>
      <x:c r="B19" s="13" t="str">
        <x:v>GET /orders/{id}</x:v>
      </x:c>
      <x:c r="C19" s="13" t="str">
        <x:v>Return orderId, productId, quantity, unitPriceSnapshot, productVersion, total, currency and status CREATED.</x:v>
      </x:c>
      <x:c r="D19" s="13" t="str">
        <x:v>Order remains available after restart. Total is 999.00 for the original sample; later price changes do not rewrite history.</x:v>
      </x:c>
      <x:c r="E19" s="13" t="str">
        <x:v>Order service</x:v>
      </x:c>
    </x:row>
    <x:row r="20" ht="44" customHeight="1">
      <x:c r="A20" s="14" t="str">
        <x:v>S14</x:v>
      </x:c>
      <x:c r="B20" s="14" t="str">
        <x:v>GET /orders/quotes/{productId}</x:v>
      </x:c>
      <x:c r="C20" s="14" t="str">
        <x:v>Display-only product quote cache in order-service, backed by Coherence. Product-change event invalidates shared cache.</x:v>
      </x:c>
      <x:c r="D20" s="14" t="str">
        <x:v>May briefly be stale. Never use this cached endpoint as the authority for POST /orders.</x:v>
      </x:c>
      <x:c r="E20" s="14" t="str">
        <x:v>Consistency experiment</x:v>
      </x:c>
    </x:row>
    <x:row r="21" ht="44" customHeight="1">
      <x:c r="A21" s="13" t="str">
        <x:v>S15</x:v>
      </x:c>
      <x:c r="B21" s="13" t="str">
        <x:v>router-api paths</x:v>
      </x:c>
      <x:c r="C21" s="13" t="str">
        <x:v>/api/products and /api/products/** map to product-service; /api/orders and /api/orders/** map to order-service. StripPrefix=1.</x:v>
      </x:c>
      <x:c r="D21" s="13" t="str">
        <x:v>Public /api/products/P100 becomes /products/P100 downstream. /api/orders/quotes/P100 stays under the orders route.</x:v>
      </x:c>
      <x:c r="E21" s="13" t="str">
        <x:v>D4, D5</x:v>
      </x:c>
    </x:row>
    <x:row r="22" ht="44" customHeight="1">
      <x:c r="A22" s="14" t="str">
        <x:v>S16</x:v>
      </x:c>
      <x:c r="B22" s="14" t="str">
        <x:v>Gateway management</x:v>
      </x:c>
      <x:c r="C22" s="14" t="str">
        <x:v>Inspect configured routes through a local, read-only management endpoint. Keep write/refresh operations unavailable externally.</x:v>
      </x:c>
      <x:c r="D22" s="14" t="str">
        <x:v>Gateway is not a service database and is not proof of authorization. No internet exposure in this lab.</x:v>
      </x:c>
      <x:c r="E22" s="14" t="str">
        <x:v>Router API assumption</x:v>
      </x:c>
    </x:row>
    <x:row r="23" ht="58" customHeight="1">
      <x:c r="A23" s="13" t="str">
        <x:v>S17</x:v>
      </x:c>
      <x:c r="B23" s="13" t="str">
        <x:v>Cache policy</x:v>
      </x:c>
      <x:c r="C23" s="13" t="str">
        <x:v>Cache-aside; stable ID keys; local Caffeine experiment has max 1000 entries and 30s TTL. Configure equivalent finite expiry for Coherence.</x:v>
      </x:c>
      <x:c r="D23" s="13" t="str">
        <x:v>A distributed cache does not discover arbitrary SQL updates. AFTER_COMMIT reduces timing errors but cannot remove every stale-refill race.</x:v>
      </x:c>
      <x:c r="E23" s="13" t="str">
        <x:v>D2, D3, P2</x:v>
      </x:c>
    </x:row>
    <x:row r="24" ht="44" customHeight="1">
      <x:c r="A24" s="14" t="str">
        <x:v>S18</x:v>
      </x:c>
      <x:c r="B24" s="14" t="str">
        <x:v>Cache outage</x:v>
      </x:c>
      <x:c r="C24" s="14" t="str">
        <x:v>Allow an uncached database read only through bounded concurrency and timeouts. If capacity or DB is unavailable, return 503.</x:v>
      </x:c>
      <x:c r="D24" s="14" t="str">
        <x:v>Do not turn cache failure into unbounded database traffic. Collect load counts and response times.</x:v>
      </x:c>
      <x:c r="E24" s="14" t="str">
        <x:v>Lab failure policy</x:v>
      </x:c>
    </x:row>
    <x:row r="25" ht="44" customHeight="1">
      <x:c r="A25" s="13" t="str">
        <x:v>S19</x:v>
      </x:c>
      <x:c r="B25" s="13" t="str">
        <x:v>Breaker policy</x:v>
      </x:c>
      <x:c r="C25" s="13" t="str">
        <x:v>Window 10; minimum calls 10; failure threshold 50%; open wait 10s; half-open 3 calls. HTTP connect 500ms, response 1000ms.</x:v>
      </x:c>
      <x:c r="D25" s="13" t="str">
        <x:v>Only transient GET retry, maximum one extra attempt at one layer. Never retry POST blindly or return success from unavailable pricing.</x:v>
      </x:c>
      <x:c r="E25" s="13" t="str">
        <x:v>Proposed lab settings, not production tuning</x:v>
      </x:c>
    </x:row>
    <x:row r="26" ht="58" customHeight="1">
      <x:c r="A26" s="14" t="str">
        <x:v>S20</x:v>
      </x:c>
      <x:c r="B26" s="14" t="str">
        <x:v>Kafka topology</x:v>
      </x:c>
      <x:c r="C26" s="14" t="str">
        <x:v>KRaft single broker apache/kafka:4.3.1 for local use. Main topics each have 3 partitions and replication factor 1; matching DLTs have 3 partitions.</x:v>
      </x:c>
      <x:c r="D26" s="14" t="str">
        <x:v>Configure advertised listeners for host clients versus Compose clients. One broker/RF1 has no broker-failure redundancy.</x:v>
      </x:c>
      <x:c r="E26" s="14" t="str">
        <x:v>D7, D8</x:v>
      </x:c>
    </x:row>
    <x:row r="27" ht="58" customHeight="1">
      <x:c r="A27" s="13" t="str">
        <x:v>S21</x:v>
      </x:c>
      <x:c r="B27" s="13" t="str">
        <x:v>Product event</x:v>
      </x:c>
      <x:c r="C27" s="13" t="str">
        <x:v>Topic catalog.product.changed.v1; key productId; fields eventId, eventType, aggregateId, aggregateVersion, occurredAt, schemaVersion=1 and payload.</x:v>
      </x:c>
      <x:c r="D27" s="13" t="str">
        <x:v>Order group order-price-cache invalidates shared quotes. Evict rather than overwrite newer entries with old event payloads.</x:v>
      </x:c>
      <x:c r="E27" s="13" t="str">
        <x:v>Ordering is per partition</x:v>
      </x:c>
    </x:row>
    <x:row r="28" ht="58" customHeight="1">
      <x:c r="A28" s="14" t="str">
        <x:v>S22</x:v>
      </x:c>
      <x:c r="B28" s="14" t="str">
        <x:v>Order event</x:v>
      </x:c>
      <x:c r="C28" s="14" t="str">
        <x:v>Topic order.created.v1; key orderId; same envelope with price snapshot and quantity. Catalog group catalog-order-audit writes a product-order audit row.</x:v>
      </x:c>
      <x:c r="D28" s="14" t="str">
        <x:v>Audit database effect is idempotent using (consumerName,eventId). This is a small lab consumer, not an inventory transaction.</x:v>
      </x:c>
      <x:c r="E28" s="14" t="str">
        <x:v>Service-owned audit table</x:v>
      </x:c>
    </x:row>
    <x:row r="29" ht="44" customHeight="1">
      <x:c r="A29" s="13" t="str">
        <x:v>S23</x:v>
      </x:c>
      <x:c r="B29" s="13" t="str">
        <x:v>Retry and DLT</x:v>
      </x:c>
      <x:c r="C29" s="13" t="str">
        <x:v>Use explicit topic names ending .DLT via custom resolver. Two retries at 1s for transient test errors; validation errors skip retries.</x:v>
      </x:c>
      <x:c r="D29" s="13" t="str">
        <x:v>Configure DLT publication failures to propagate. Do not treat an unsuccessful DLT send as successful processing.</x:v>
      </x:c>
      <x:c r="E29" s="13" t="str">
        <x:v>D8</x:v>
      </x:c>
    </x:row>
    <x:row r="30" ht="58" customHeight="1">
      <x:c r="A30" s="14" t="str">
        <x:v>S24</x:v>
      </x:c>
      <x:c r="B30" s="14" t="str">
        <x:v>Reliable publication</x:v>
      </x:c>
      <x:c r="C30" s="14" t="str">
        <x:v>Outbox table: eventId unique, topic, aggregateId, aggregateVersion, payload, status, attempts, createdAt. One relay worker per service in this lab.</x:v>
      </x:c>
      <x:c r="D30" s="14" t="str">
        <x:v>Business update and outbox insert share a DB transaction. SENT only after Kafka acknowledgement. Duplicate relay delivery is expected and safe.</x:v>
      </x:c>
      <x:c r="E30" s="14" t="str">
        <x:v>Day 6 requirement</x:v>
      </x:c>
    </x:row>
    <x:row r="31" ht="58" customHeight="1">
      <x:c r="A31" s="13" t="str">
        <x:v>S25</x:v>
      </x:c>
      <x:c r="B31" s="13" t="str">
        <x:v>Consumer side effects</x:v>
      </x:c>
      <x:c r="C31" s="13" t="str">
        <x:v>Processed-event unique key and business effect commit in one transaction. Handle duplicate insert without double-applying the business effect.</x:v>
      </x:c>
      <x:c r="D31" s="13" t="str">
        <x:v>Commit/ack only after processing. Verify a crash between DB commit and Kafka offset commit is safe on replay.</x:v>
      </x:c>
      <x:c r="E31" s="13" t="str">
        <x:v>DB idempotency requirement</x:v>
      </x:c>
    </x:row>
    <x:row r="32" ht="58" customHeight="1">
      <x:c r="A32" s="14" t="str">
        <x:v>S26</x:v>
      </x:c>
      <x:c r="B32" s="14" t="str">
        <x:v>Consistency guarantee</x:v>
      </x:c>
      <x:c r="C32" s="14" t="str">
        <x:v>Cached displays are eventually consistent. Synchronous order pricing uses a fresh DB-backed product lookup; it is a snapshot, not a distributed transaction.</x:v>
      </x:c>
      <x:c r="D32" s="14" t="str">
        <x:v>Document convergence during faults, TTL limits and remaining races. Do not claim global exactly-once delivery or strong DB/cache consistency.</x:v>
      </x:c>
      <x:c r="E32" s="14" t="str">
        <x:v>P3 chapters 11–12</x:v>
      </x:c>
    </x:row>
    <x:row r="33" ht="44" customHeight="1">
      <x:c r="A33" s="13" t="str">
        <x:v>S27</x:v>
      </x:c>
      <x:c r="B33" s="13" t="str">
        <x:v>Evidence and security</x:v>
      </x:c>
      <x:c r="C33" s="13" t="str">
        <x:v>Use synthetic data, no API keys, .env excluded from Git and local-only management ports. Log IDs and error categories, not secrets.</x:v>
      </x:c>
      <x:c r="D33" s="13" t="str">
        <x:v>Every Done task needs a commit/test/log/request reference. Planned completion is not evidence of a working service.</x:v>
      </x:c>
      <x:c r="E33" s="13" t="str">
        <x:v>Tracker rule</x:v>
      </x:c>
    </x:row>
    <x:row r="34" ht="58" customHeight="1">
      <x:c r="A34" s="14" t="str">
        <x:v>S28</x:v>
      </x:c>
      <x:c r="B34" s="14" t="str">
        <x:v>Optional after this week</x:v>
      </x:c>
      <x:c r="C34" s="14" t="str">
        <x:v>Eureka discovery, Kubernetes, OAuth2/JWT/TLS, multi-broker Kafka, CDC relay, schema registry, supported-version migration and performance tuning.</x:v>
      </x:c>
      <x:c r="D34" s="14" t="str">
        <x:v>Do these only after required acceptance tests pass. Do not consume the 56-hour core budget with all extensions.</x:v>
      </x:c>
      <x:c r="E34" s="14" t="str">
        <x:v>Next practice cycle</x:v>
      </x:c>
    </x:row>
  </x:sheetData>
  <x:pageMargins left="0.7" right="0.7" top="0.75" bottom="0.75" header="0.3" footer="0.3"/>
  <x:tableParts count="1">
    <x:tablePart xmlns:r="http://schemas.openxmlformats.org/officeDocument/2006/relationships" r:id="R6d358777dc5d499b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9" hidden="0" customWidth="1"/>
    <x:col min="2" max="2" width="21.8799991607666" hidden="0" customWidth="1"/>
    <x:col min="3" max="3" width="33.75" hidden="0" customWidth="1"/>
    <x:col min="4" max="4" width="81.25" hidden="0" customWidth="1"/>
    <x:col min="5" max="5" width="63.75" hidden="0" customWidth="1"/>
  </x:cols>
  <x:sheetData>
    <x:row r="1" ht="9" customHeight="1">
      <x:c r="A1" s="2"/>
      <x:c r="B1" s="2"/>
      <x:c r="C1" s="2"/>
      <x:c r="D1" s="2"/>
      <x:c r="E1" s="2"/>
    </x:row>
    <x:row r="2" ht="28" customHeight="1">
      <x:c r="A2" s="3" t="str">
        <x:v>Deployment Runbook and Acceptance Tests</x:v>
      </x:c>
      <x:c r="B2" s="2"/>
      <x:c r="C2" s="2"/>
      <x:c r="D2" s="2"/>
      <x:c r="E2" s="2"/>
    </x:row>
    <x:row r="3" ht="8" customHeight="1">
      <x:c r="A3" s="4"/>
      <x:c r="B3" s="4"/>
      <x:c r="C3" s="4"/>
      <x:c r="D3" s="4"/>
      <x:c r="E3" s="4"/>
    </x:row>
    <x:row r="4">
      <x:c r="A4" s="2" t="str">
        <x:v>Commands are practice instructions to run after implementing the named components; they have not been executed for you.</x:v>
      </x:c>
      <x:c r="B4" s="2"/>
      <x:c r="C4" s="2"/>
      <x:c r="D4" s="2"/>
      <x:c r="E4" s="2"/>
    </x:row>
    <x:row r="5">
      <x:c r="A5" s="2" t="str">
        <x:v>JSON curl examples use Git Bash. For PowerShell call curl.exe and adapt JSON quoting. Operations target only your local lab.</x:v>
      </x:c>
      <x:c r="B5" s="2"/>
      <x:c r="C5" s="2"/>
      <x:c r="D5" s="2"/>
      <x:c r="E5" s="2"/>
    </x:row>
    <x:row r="6" ht="35" customHeight="1">
      <x:c r="A6" s="12" t="str">
        <x:v>ID</x:v>
      </x:c>
      <x:c r="B6" s="12" t="str">
        <x:v>Action</x:v>
      </x:c>
      <x:c r="C6" s="12" t="str">
        <x:v>Where / prerequisite</x:v>
      </x:c>
      <x:c r="D6" s="12" t="str">
        <x:v>Command or scenario</x:v>
      </x:c>
      <x:c r="E6" s="12" t="str">
        <x:v>Expected result / safety</x:v>
      </x:c>
    </x:row>
    <x:row r="7" ht="58" customHeight="1">
      <x:c r="A7" s="13" t="str">
        <x:v>R01</x:v>
      </x:c>
      <x:c r="B7" s="13" t="str">
        <x:v>Setup</x:v>
      </x:c>
      <x:c r="C7" s="13" t="str">
        <x:v>In each service project</x:v>
      </x:c>
      <x:c r="D7" s="13" t="str">
        <x:v>java -version
./gradlew --version</x:v>
      </x:c>
      <x:c r="E7" s="13" t="str">
        <x:v>Select Java 21 in IntelliJ and Gradle. On PowerShell use .\gradlew.bat instead of ./gradlew. Do not reuse the previous AI project or its credentials.</x:v>
      </x:c>
    </x:row>
    <x:row r="8" ht="44" customHeight="1">
      <x:c r="A8" s="14" t="str">
        <x:v>R02</x:v>
      </x:c>
      <x:c r="B8" s="14" t="str">
        <x:v>Build</x:v>
      </x:c>
      <x:c r="C8" s="14" t="str">
        <x:v>Each service directory</x:v>
      </x:c>
      <x:c r="D8" s="14" t="str">
        <x:v>./gradlew clean test bootJar</x:v>
      </x:c>
      <x:c r="E8" s="14" t="str">
        <x:v>Tests pass and configured build/libs/product-service.jar (or matching service name) exists. No -x test in the final acceptance build.</x:v>
      </x:c>
    </x:row>
    <x:row r="9" ht="58" customHeight="1">
      <x:c r="A9" s="13" t="str">
        <x:v>R03</x:v>
      </x:c>
      <x:c r="B9" s="13" t="str">
        <x:v>Run product</x:v>
      </x:c>
      <x:c r="C9" s="13" t="str">
        <x:v>product-service directory</x:v>
      </x:c>
      <x:c r="D9" s="13" t="str">
        <x:v>java -jar build/libs/product-service.jar --spring.profiles.active=local --server.port=8081</x:v>
      </x:c>
      <x:c r="E9" s="13" t="str">
        <x:v>Datasource settings come from your local environment/config. Repeat with order-service.jar on 8082 and router-api.jar on 8080 when built.</x:v>
      </x:c>
    </x:row>
    <x:row r="10" ht="44" customHeight="1">
      <x:c r="A10" s="14" t="str">
        <x:v>R04</x:v>
      </x:c>
      <x:c r="B10" s="14" t="str">
        <x:v>Health</x:v>
      </x:c>
      <x:c r="C10" s="14" t="str">
        <x:v>Git Bash; PowerShell use curl.exe</x:v>
      </x:c>
      <x:c r="D10" s="14" t="str">
        <x:v>curl -i http://localhost:8081/actuator/health</x:v>
      </x:c>
      <x:c r="E10" s="14" t="str">
        <x:v>200 with status UP after required dependencies are ready. Enable only intended management endpoints.</x:v>
      </x:c>
    </x:row>
    <x:row r="11" ht="44" customHeight="1">
      <x:c r="A11" s="13" t="str">
        <x:v>R05</x:v>
      </x:c>
      <x:c r="B11" s="13" t="str">
        <x:v>Create product</x:v>
      </x:c>
      <x:c r="C11" s="13" t="str">
        <x:v>Git Bash; after gateway exists</x:v>
      </x:c>
      <x:c r="D11" s="13" t="str">
        <x:v>curl -i -X POST http://localhost:8080/api/products -H "Content-Type: application/json" -d '{"productId":"P100","name":"Training Racket","unitPrice":499.50,"currency":"INR"}'</x:v>
      </x:c>
      <x:c r="E11" s="13" t="str">
        <x:v>201 the first time, 409 on duplicate. Before Day 3 call localhost:8081/products directly.</x:v>
      </x:c>
    </x:row>
    <x:row r="12" ht="44" customHeight="1">
      <x:c r="A12" s="14" t="str">
        <x:v>R06</x:v>
      </x:c>
      <x:c r="B12" s="14" t="str">
        <x:v>Read and cache</x:v>
      </x:c>
      <x:c r="C12" s="14" t="str">
        <x:v>Git Bash</x:v>
      </x:c>
      <x:c r="D12" s="14" t="str">
        <x:v>curl -i http://localhost:8080/api/products/P100</x:v>
      </x:c>
      <x:c r="E12" s="14" t="str">
        <x:v>Repeat and record DB-load count. Warm replica A and B directly during Day 2 comparison; use their distinct ports.</x:v>
      </x:c>
    </x:row>
    <x:row r="13" ht="44" customHeight="1">
      <x:c r="A13" s="13" t="str">
        <x:v>R07</x:v>
      </x:c>
      <x:c r="B13" s="13" t="str">
        <x:v>Change product</x:v>
      </x:c>
      <x:c r="C13" s="13" t="str">
        <x:v>Git Bash; use current expected version</x:v>
      </x:c>
      <x:c r="D13" s="13" t="str">
        <x:v>curl -i -X PUT http://localhost:8080/api/products/P100 -H "Content-Type: application/json" -d '{"name":"Training Racket","unitPrice":549.50,"currency":"INR","version":1}'</x:v>
      </x:c>
      <x:c r="E13" s="13" t="str">
        <x:v>200 and new version; stale version gives 409. Check invalidation/event evidence. Example assumes version 1 before this request.</x:v>
      </x:c>
    </x:row>
    <x:row r="14" ht="58" customHeight="1">
      <x:c r="A14" s="14" t="str">
        <x:v>R08</x:v>
      </x:c>
      <x:c r="B14" s="14" t="str">
        <x:v>Create order</x:v>
      </x:c>
      <x:c r="C14" s="14" t="str">
        <x:v>Git Bash; Day 4 onward</x:v>
      </x:c>
      <x:c r="D14" s="14" t="str">
        <x:v>curl -i -X POST http://localhost:8080/api/orders -H "Content-Type: application/json" -H "Idempotency-Key: order-demo-001" -d '{"productId":"P100","quantity":2}'</x:v>
      </x:c>
      <x:c r="E14" s="14" t="str">
        <x:v>201; repeat unchanged gets 200 and same order ID. Expected total uses the current authoritative price: 999.00 before R07 or 1099.00 after R07.</x:v>
      </x:c>
    </x:row>
    <x:row r="15" ht="58" customHeight="1">
      <x:c r="A15" s="13" t="str">
        <x:v>R09</x:v>
      </x:c>
      <x:c r="B15" s="13" t="str">
        <x:v>Bootstrap Kafka</x:v>
      </x:c>
      <x:c r="C15" s="13" t="str">
        <x:v>Docker engine available; isolated quickstart only</x:v>
      </x:c>
      <x:c r="D15" s="13" t="str">
        <x:v>docker run --name kafka-lab -p 127.0.0.1:9092:9092 -d apache/kafka:4.3.1</x:v>
      </x:c>
      <x:c r="E15" s="13" t="str">
        <x:v>For host-only exploration. Stop this container before starting Compose Kafka on the same port. Compose needs explicitly correct advertised listeners.</x:v>
      </x:c>
    </x:row>
    <x:row r="16" ht="44" customHeight="1">
      <x:c r="A16" s="14" t="str">
        <x:v>R10</x:v>
      </x:c>
      <x:c r="B16" s="14" t="str">
        <x:v>Describe topics</x:v>
      </x:c>
      <x:c r="C16" s="14" t="str">
        <x:v>After Compose service kafka is running</x:v>
      </x:c>
      <x:c r="D16" s="14" t="str">
        <x:v>docker compose exec kafka /opt/kafka/bin/kafka-topics.sh --bootstrap-server kafka:9092 --describe</x:v>
      </x:c>
      <x:c r="E16" s="14" t="str">
        <x:v>Both v1 topics and DLTs exist with 3 partitions. Use the same listener address configured for internal clients.</x:v>
      </x:c>
    </x:row>
    <x:row r="17" ht="44" customHeight="1">
      <x:c r="A17" s="13" t="str">
        <x:v>R11</x:v>
      </x:c>
      <x:c r="B17" s="13" t="str">
        <x:v>Inspect group</x:v>
      </x:c>
      <x:c r="C17" s="13" t="str">
        <x:v>Compose project directory</x:v>
      </x:c>
      <x:c r="D17" s="13" t="str">
        <x:v>docker compose exec kafka /opt/kafka/bin/kafka-consumer-groups.sh --bootstrap-server kafka:9092 --describe --group order-price-cache</x:v>
      </x:c>
      <x:c r="E17" s="13" t="str">
        <x:v>Observe assignment, offsets and lag. Restart a listener and show recovery. Same-group consumers divide partitions.</x:v>
      </x:c>
    </x:row>
    <x:row r="18" ht="58" customHeight="1">
      <x:c r="A18" s="14" t="str">
        <x:v>R12</x:v>
      </x:c>
      <x:c r="B18" s="14" t="str">
        <x:v>Validate Compose</x:v>
      </x:c>
      <x:c r="C18" s="14" t="str">
        <x:v>Project root containing compose.yaml</x:v>
      </x:c>
      <x:c r="D18" s="14" t="str">
        <x:v>docker compose config
docker compose up -d --build
docker compose ps</x:v>
      </x:c>
      <x:c r="E18" s="14" t="str">
        <x:v>Validate before starting. Service names must match the lab names below. Healthy dependencies are required; started alone is not ready.</x:v>
      </x:c>
    </x:row>
    <x:row r="19" ht="44" customHeight="1">
      <x:c r="A19" s="13" t="str">
        <x:v>R13</x:v>
      </x:c>
      <x:c r="B19" s="13" t="str">
        <x:v>Inspect logs</x:v>
      </x:c>
      <x:c r="C19" s="13" t="str">
        <x:v>Compose project directory</x:v>
      </x:c>
      <x:c r="D19" s="13" t="str">
        <x:v>docker compose logs --tail=100 router-api product-service order-service</x:v>
      </x:c>
      <x:c r="E19" s="13" t="str">
        <x:v>Trace correlation ID and eventId. Capture relevant excerpts without secrets.</x:v>
      </x:c>
    </x:row>
    <x:row r="20" ht="58" customHeight="1">
      <x:c r="A20" s="14" t="str">
        <x:v>R14</x:v>
      </x:c>
      <x:c r="B20" s="14" t="str">
        <x:v>Breaker outage</x:v>
      </x:c>
      <x:c r="C20" s="14" t="str">
        <x:v>Local lab only; restore immediately after test</x:v>
      </x:c>
      <x:c r="D20" s="14" t="str">
        <x:v>docker compose stop product-service
# exercise the order endpoint
docker compose start product-service</x:v>
      </x:c>
      <x:c r="E20" s="14" t="str">
        <x:v>503 without successful order creation. Observe OPEN; after wait and successful half-open trials, calls succeed.</x:v>
      </x:c>
    </x:row>
    <x:row r="21" ht="58" customHeight="1">
      <x:c r="A21" s="13" t="str">
        <x:v>R15</x:v>
      </x:c>
      <x:c r="B21" s="13" t="str">
        <x:v>Broker outage</x:v>
      </x:c>
      <x:c r="C21" s="13" t="str">
        <x:v>Local lab only</x:v>
      </x:c>
      <x:c r="D21" s="13" t="str">
        <x:v>docker compose stop kafka
# update a product and inspect pending outbox
docker compose start kafka</x:v>
      </x:c>
      <x:c r="E21" s="13" t="str">
        <x:v>Pending event remains durable and is published after recovery. Audit duplicates are harmless.</x:v>
      </x:c>
    </x:row>
    <x:row r="22" ht="58" customHeight="1">
      <x:c r="A22" s="14" t="str">
        <x:v>R16</x:v>
      </x:c>
      <x:c r="B22" s="14" t="str">
        <x:v>Coherence member loss</x:v>
      </x:c>
      <x:c r="C22" s="14" t="str">
        <x:v>After two storage members and backups are confirmed</x:v>
      </x:c>
      <x:c r="D22" s="14" t="str">
        <x:v>docker compose stop coherence-2
# read warm product/quote entries
docker compose start coherence-2</x:v>
      </x:c>
      <x:c r="E22" s="14" t="str">
        <x:v>One-member loss should not lose backed-up entries. Record cluster evidence; a full cluster restart may require reload from DB.</x:v>
      </x:c>
    </x:row>
    <x:row r="23" ht="58" customHeight="1">
      <x:c r="A23" s="13" t="str">
        <x:v>R17</x:v>
      </x:c>
      <x:c r="B23" s="13" t="str">
        <x:v>Persistence restart</x:v>
      </x:c>
      <x:c r="C23" s="13" t="str">
        <x:v>Local lab only</x:v>
      </x:c>
      <x:c r="D23" s="13" t="str">
        <x:v>docker compose restart product-service order-service</x:v>
      </x:c>
      <x:c r="E23" s="13" t="str">
        <x:v>Existing products and orders remain in PostgreSQL. Cache cold-start behaviour is observable. Never delete volumes to perform this test.</x:v>
      </x:c>
    </x:row>
    <x:row r="24" ht="58" customHeight="1">
      <x:c r="A24" s="14" t="str">
        <x:v>R18</x:v>
      </x:c>
      <x:c r="B24" s="14" t="str">
        <x:v>Rollback</x:v>
      </x:c>
      <x:c r="C24" s="14" t="str">
        <x:v>Use an existing v1 image tag and compatible schema</x:v>
      </x:c>
      <x:c r="D24" s="14" t="str">
        <x:v># set APP_TAG to your previously built v1 tag
docker compose up -d --no-build router-api product-service order-service</x:v>
      </x:c>
      <x:c r="E24" s="14" t="str">
        <x:v>The compose file must reference the APP_TAG variable. Re-run health and smoke tests; record deployed image IDs. Do not use latest as rollback evidence.</x:v>
      </x:c>
    </x:row>
    <x:row r="25" ht="44" customHeight="1">
      <x:c r="A25" s="13" t="str">
        <x:v>R19</x:v>
      </x:c>
      <x:c r="B25" s="13" t="str">
        <x:v>Safe shutdown</x:v>
      </x:c>
      <x:c r="C25" s="13" t="str">
        <x:v>Only this practice Compose project</x:v>
      </x:c>
      <x:c r="D25" s="13" t="str">
        <x:v>docker compose stop</x:v>
      </x:c>
      <x:c r="E25" s="13" t="str">
        <x:v>Stops this project without removing databases or volumes. Do not use docker system prune or volume deletion for routine practice.</x:v>
      </x:c>
    </x:row>
    <x:row r="26" ht="44" customHeight="1">
      <x:c r="A26" s="14" t="str">
        <x:v>T01</x:v>
      </x:c>
      <x:c r="B26" s="14" t="str">
        <x:v>Final test</x:v>
      </x:c>
      <x:c r="C26" s="14" t="str">
        <x:v>Routing</x:v>
      </x:c>
      <x:c r="D26" s="14" t="str">
        <x:v>Known product/order routes, unknown path, query parameter and invalid JSON tests</x:v>
      </x:c>
      <x:c r="E26" s="14" t="str">
        <x:v>Expected 2xx/4xx are preserved. Downstream path strips /api exactly once.</x:v>
      </x:c>
    </x:row>
    <x:row r="27" ht="44" customHeight="1">
      <x:c r="A27" s="13" t="str">
        <x:v>T02</x:v>
      </x:c>
      <x:c r="B27" s="13" t="str">
        <x:v>Final test</x:v>
      </x:c>
      <x:c r="C27" s="13" t="str">
        <x:v>Cache and Coherence</x:v>
      </x:c>
      <x:c r="D27" s="13" t="str">
        <x:v>Cold/warm read, DB-load count, update, failed transaction, two replicas and one member loss</x:v>
      </x:c>
      <x:c r="E27" s="13" t="str">
        <x:v>Evidence distinguishes local versus shared cache and identifies remaining stale-refill risks.</x:v>
      </x:c>
    </x:row>
    <x:row r="28" ht="44" customHeight="1">
      <x:c r="A28" s="14" t="str">
        <x:v>T03</x:v>
      </x:c>
      <x:c r="B28" s="14" t="str">
        <x:v>Final test</x:v>
      </x:c>
      <x:c r="C28" s="14" t="str">
        <x:v>Resilience</x:v>
      </x:c>
      <x:c r="D28" s="14" t="str">
        <x:v>Delay, connection refusal, 5xx, normal 4xx, breaker states and retry count</x:v>
      </x:c>
      <x:c r="E28" s="14" t="str">
        <x:v>No fake business success, no uncontrolled retry amplification, no duplicate order side effect.</x:v>
      </x:c>
    </x:row>
    <x:row r="29" ht="44" customHeight="1">
      <x:c r="A29" s="13" t="str">
        <x:v>T04</x:v>
      </x:c>
      <x:c r="B29" s="13" t="str">
        <x:v>Final test</x:v>
      </x:c>
      <x:c r="C29" s="13" t="str">
        <x:v>Kafka</x:v>
      </x:c>
      <x:c r="D29" s="13" t="str">
        <x:v>Group sharing, replay, duplicate event, poison record, DLT and DLT publish failure</x:v>
      </x:c>
      <x:c r="E29" s="13" t="str">
        <x:v>Processing is retryable; durable side effects are idempotent. Failed DLT publishing is not silently accepted.</x:v>
      </x:c>
    </x:row>
    <x:row r="30" ht="44" customHeight="1">
      <x:c r="A30" s="14" t="str">
        <x:v>T05</x:v>
      </x:c>
      <x:c r="B30" s="14" t="str">
        <x:v>Final test</x:v>
      </x:c>
      <x:c r="C30" s="14" t="str">
        <x:v>End-to-end consistency</x:v>
      </x:c>
      <x:c r="D30" s="14" t="str">
        <x:v>Warm quote; change product while Kafka is down; restart; compare replicas and authoritative checkout</x:v>
      </x:c>
      <x:c r="E30" s="14" t="str">
        <x:v>Outbox drains, display caches converge, and checkout does not depend on an old cached quote.</x:v>
      </x:c>
    </x:row>
    <x:row r="31" ht="44" customHeight="1">
      <x:c r="A31" s="13" t="str">
        <x:v>T06</x:v>
      </x:c>
      <x:c r="B31" s="13" t="str">
        <x:v>Final test</x:v>
      </x:c>
      <x:c r="C31" s="13" t="str">
        <x:v>Release evidence</x:v>
      </x:c>
      <x:c r="D31" s="13" t="str">
        <x:v>Build/test report, versioned jars/images, API collection, README and rollback log</x:v>
      </x:c>
      <x:c r="E31" s="13" t="str">
        <x:v>Another developer can reproduce startup and the five final tests from your repository.</x:v>
      </x:c>
    </x:row>
  </x:sheetData>
  <x:pageMargins left="0.7" right="0.7" top="0.75" bottom="0.75" header="0.3" footer="0.3"/>
  <x:tableParts count="1">
    <x:tablePart xmlns:r="http://schemas.openxmlformats.org/officeDocument/2006/relationships" r:id="R91bd369dd11c4ae5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7.5" hidden="0" customWidth="1"/>
    <x:col min="2" max="2" width="11.25" hidden="0" customWidth="1"/>
    <x:col min="3" max="3" width="13.75" hidden="0" customWidth="1"/>
    <x:col min="4" max="4" width="42.5" hidden="0" customWidth="1"/>
    <x:col min="5" max="5" width="50" hidden="0" customWidth="1"/>
    <x:col min="6" max="6" width="58.75" hidden="0" customWidth="1"/>
    <x:col min="7" max="7" width="48.75" hidden="0" customWidth="1"/>
    <x:col min="8" max="8" width="2.5" hidden="0" customWidth="1"/>
  </x:cols>
  <x:sheetData>
    <x:row r="1" ht="9" customHeight="1">
      <x:c r="A1" s="2"/>
      <x:c r="B1" s="2"/>
      <x:c r="C1" s="2"/>
      <x:c r="D1" s="2"/>
      <x:c r="E1" s="2"/>
      <x:c r="F1" s="2"/>
      <x:c r="G1" s="2"/>
      <x:c r="H1" s="2"/>
    </x:row>
    <x:row r="2" ht="28" customHeight="1">
      <x:c r="A2" s="3" t="str">
        <x:v>LinkedIn Learning and Reading</x:v>
      </x:c>
      <x:c r="B2" s="2"/>
      <x:c r="C2" s="2"/>
      <x:c r="D2" s="2"/>
      <x:c r="E2" s="2"/>
      <x:c r="F2" s="2"/>
      <x:c r="G2" s="2"/>
      <x:c r="H2" s="2"/>
    </x:row>
    <x:row r="3" ht="8" customHeight="1">
      <x:c r="A3" s="4"/>
      <x:c r="B3" s="4"/>
      <x:c r="C3" s="4"/>
      <x:c r="D3" s="4"/>
      <x:c r="E3" s="4"/>
      <x:c r="F3" s="4"/>
      <x:c r="G3" s="4"/>
      <x:c r="H3" s="4"/>
    </x:row>
    <x:row r="4">
      <x:c r="A4" s="2" t="str">
        <x:v>Use your LinkedIn Learning subscription. Each day reserves 45m for selected lessons and 30m for reading, not whole courses.</x:v>
      </x:c>
      <x:c r="B4" s="2"/>
      <x:c r="C4" s="2"/>
      <x:c r="D4" s="2"/>
      <x:c r="E4" s="2"/>
      <x:c r="F4" s="2"/>
      <x:c r="G4" s="2"/>
      <x:c r="H4" s="2"/>
    </x:row>
    <x:row r="5">
      <x:c r="A5" s="2" t="str">
        <x:v>Links checked 30 Sep 2026. Copy a URL into your browser. PDFs are free author/project sources; read the version notes.</x:v>
      </x:c>
      <x:c r="B5" s="2"/>
      <x:c r="C5" s="2"/>
      <x:c r="D5" s="2"/>
      <x:c r="E5" s="2"/>
      <x:c r="F5" s="2"/>
      <x:c r="G5" s="2"/>
      <x:c r="H5" s="2"/>
    </x:row>
    <x:row r="6" ht="35" customHeight="1">
      <x:c r="A6" s="12" t="str">
        <x:v>ID</x:v>
      </x:c>
      <x:c r="B6" s="12" t="str">
        <x:v>Days</x:v>
      </x:c>
      <x:c r="C6" s="12" t="str">
        <x:v>Format</x:v>
      </x:c>
      <x:c r="D6" s="12" t="str">
        <x:v>Resource</x:v>
      </x:c>
      <x:c r="E6" s="12" t="str">
        <x:v>Assigned reading / lesson focus</x:v>
      </x:c>
      <x:c r="F6" s="12" t="str">
        <x:v>Resource URL (copy into browser)</x:v>
      </x:c>
      <x:c r="G6" s="12" t="str">
        <x:v>Version and access notes</x:v>
      </x:c>
      <x:c r="H6" s="2"/>
    </x:row>
    <x:row r="7" ht="44" customHeight="1">
      <x:c r="A7" s="13" t="str">
        <x:v>L1</x:v>
      </x:c>
      <x:c r="B7" s="13" t="str">
        <x:v>1</x:v>
      </x:c>
      <x:c r="C7" s="13" t="str">
        <x:v>LinkedIn</x:v>
      </x:c>
      <x:c r="D7" s="13" t="str">
        <x:v>Learning Java Collections — Kevin Bowersox</x:v>
      </x:c>
      <x:c r="E7" s="13" t="str">
        <x:v>Collection choice, equality, maps and streams. Share the Day 1 viewing budget with L2.</x:v>
      </x:c>
      <x:c r="F7" s="25" t="str">
        <x:v>https://www.linkedin.com/learning/learning-java-collections</x:v>
      </x:c>
      <x:c r="G7" s="13" t="str">
        <x:v>2021 course. Java fundamentals; not a modern-records tutorial.</x:v>
      </x:c>
      <x:c r="H7" s="2"/>
    </x:row>
    <x:row r="8" ht="44" customHeight="1">
      <x:c r="A8" s="14" t="str">
        <x:v>L2</x:v>
      </x:c>
      <x:c r="B8" s="14" t="str">
        <x:v>1–2</x:v>
      </x:c>
      <x:c r="C8" s="14" t="str">
        <x:v>LinkedIn</x:v>
      </x:c>
      <x:c r="D8" s="14" t="str">
        <x:v>Spring Boot 3 Essential Training — Frank P Moley III</x:v>
      </x:c>
      <x:c r="E8" s="14" t="str">
        <x:v>Configuration, profiles, REST/service layers, Spring Data and Actuator. Select only relevant lessons.</x:v>
      </x:c>
      <x:c r="F8" s="26" t="str">
        <x:v>https://www.linkedin.com/learning/spring-boot-3-essential-training</x:v>
      </x:c>
      <x:c r="G8" s="14" t="str">
        <x:v>2025 course. Check dependencies against the lab baseline.</x:v>
      </x:c>
      <x:c r="H8" s="2"/>
    </x:row>
    <x:row r="9" ht="44" customHeight="1">
      <x:c r="A9" s="13" t="str">
        <x:v>L3</x:v>
      </x:c>
      <x:c r="B9" s="13" t="str">
        <x:v>3, 7</x:v>
      </x:c>
      <x:c r="C9" s="13" t="str">
        <x:v>LinkedIn</x:v>
      </x:c>
      <x:c r="D9" s="13" t="str">
        <x:v>Creating Spring Boot Microservices — Mary Ellen Bowman</x:v>
      </x:c>
      <x:c r="E9" s="13" t="str">
        <x:v>Gateway chapter for Day 3. Docker, Compose and orchestration sections for Day 7.</x:v>
      </x:c>
      <x:c r="F9" s="25" t="str">
        <x:v>https://www.linkedin.com/learning/creating-spring-boot-microservices</x:v>
      </x:c>
      <x:c r="G9" s="13" t="str">
        <x:v>2024, Boot 3. Adapt examples to product/order services. No need to finish every chapter.</x:v>
      </x:c>
      <x:c r="H9" s="2"/>
    </x:row>
    <x:row r="10" ht="44" customHeight="1">
      <x:c r="A10" s="14" t="str">
        <x:v>L4</x:v>
      </x:c>
      <x:c r="B10" s="14" t="str">
        <x:v>4</x:v>
      </x:c>
      <x:c r="C10" s="14" t="str">
        <x:v>LinkedIn</x:v>
      </x:c>
      <x:c r="D10" s="14" t="str">
        <x:v>Test-Driven Development in Spring Boot with JUnit and Mockito — Maaike van Putten</x:v>
      </x:c>
      <x:c r="E10" s="14" t="str">
        <x:v>Service Mockito tests and controller MockMvc tests. Use these techniques for failure-injection tests.</x:v>
      </x:c>
      <x:c r="F10" s="26" t="str">
        <x:v>https://www.linkedin.com/learning/test-driven-development-in-spring-boot-with-junit-and-mockito</x:v>
      </x:c>
      <x:c r="G10" s="14" t="str">
        <x:v>2025. Not a circuit-breaker course. Repository examples use an in-memory DB.</x:v>
      </x:c>
      <x:c r="H10" s="2"/>
    </x:row>
    <x:row r="11" ht="44" customHeight="1">
      <x:c r="A11" s="13" t="str">
        <x:v>L5</x:v>
      </x:c>
      <x:c r="B11" s="13" t="str">
        <x:v>5</x:v>
      </x:c>
      <x:c r="C11" s="13" t="str">
        <x:v>LinkedIn</x:v>
      </x:c>
      <x:c r="D11" s="13" t="str">
        <x:v>Apache Kafka Essential Training: Getting Started — Kumaran Ponnambalam</x:v>
      </x:c>
      <x:c r="E11" s="13" t="str">
        <x:v>Topics/brokers, partitions, groups, offsets and Java producer/consumer sections.</x:v>
      </x:c>
      <x:c r="F11" s="25" t="str">
        <x:v>https://www.linkedin.com/learning/apache-kafka-essential-training-getting-started-22398044</x:v>
      </x:c>
      <x:c r="G11" s="13" t="str">
        <x:v>2023. Use current KRaft setup in D7, not older installation commands.</x:v>
      </x:c>
      <x:c r="H11" s="2"/>
    </x:row>
    <x:row r="12" ht="58" customHeight="1">
      <x:c r="A12" s="14" t="str">
        <x:v>L6</x:v>
      </x:c>
      <x:c r="B12" s="14" t="str">
        <x:v>7</x:v>
      </x:c>
      <x:c r="C12" s="14" t="str">
        <x:v>LinkedIn</x:v>
      </x:c>
      <x:c r="D12" s="14" t="str">
        <x:v>Intermediate Jenkins: Automate, Integrate, and Secure CI/CD Workflows at Scale — Michael Jenkins</x:v>
      </x:c>
      <x:c r="E12" s="14" t="str">
        <x:v>Declarative pipeline, Jenkinsfile, test reports and artifact handling. Split 45m with L3.</x:v>
      </x:c>
      <x:c r="F12" s="26" t="str">
        <x:v>https://www.linkedin.com/learning/intermediate-jenkins-automate-integrate-and-secure-ci-cd-workflows-at-scale</x:v>
      </x:c>
      <x:c r="G12" s="14" t="str">
        <x:v>2026. Optional local equivalent if Jenkins setup would consume the lab.</x:v>
      </x:c>
      <x:c r="H12" s="2"/>
    </x:row>
    <x:row r="13" ht="44" customHeight="1">
      <x:c r="A13" s="13" t="str">
        <x:v>L7</x:v>
      </x:c>
      <x:c r="B13" s="13" t="str">
        <x:v>6</x:v>
      </x:c>
      <x:c r="C13" s="13" t="str">
        <x:v>LinkedIn</x:v>
      </x:c>
      <x:c r="D13" s="13" t="str">
        <x:v>Apache Kafka Essential Training: Building Scalable Applications — Kumaran Ponnambalam</x:v>
      </x:c>
      <x:c r="E13" s="13" t="str">
        <x:v>Producer acknowledgements, consumer commits and resiliency. Take notes on duplicate delivery.</x:v>
      </x:c>
      <x:c r="F13" s="25" t="str">
        <x:v>https://www.linkedin.com/learning/apache-kafka-essential-training-building-scalable-applications-19204536</x:v>
      </x:c>
      <x:c r="G13" s="13" t="str">
        <x:v>2023. Concept reference; use Spring Kafka documentation for integration APIs.</x:v>
      </x:c>
      <x:c r="H13" s="2"/>
    </x:row>
    <x:row r="14" ht="44" customHeight="1">
      <x:c r="A14" s="14" t="str">
        <x:v>P1</x:v>
      </x:c>
      <x:c r="B14" s="14" t="str">
        <x:v>1</x:v>
      </x:c>
      <x:c r="C14" s="14" t="str">
        <x:v>Free PDF</x:v>
      </x:c>
      <x:c r="D14" s="14" t="str">
        <x:v>Think Java, second edition — Allen Downey and Chris Mayfield</x:v>
      </x:c>
      <x:c r="E14" s="14" t="str">
        <x:v>Read selected material on Objects and Designing Classes for 30m; code one example yourself.</x:v>
      </x:c>
      <x:c r="F14" s="26" t="str">
        <x:v>https://greenteapress.com/thinkjava7/thinkjava2.pdf</x:v>
      </x:c>
      <x:c r="G14" s="14" t="str">
        <x:v>Author/publisher-hosted free PDF. Introductory Java, not a modern Spring or concurrency reference.</x:v>
      </x:c>
      <x:c r="H14" s="2"/>
    </x:row>
    <x:row r="15" ht="58" customHeight="1">
      <x:c r="A15" s="13" t="str">
        <x:v>P2</x:v>
      </x:c>
      <x:c r="B15" s="13" t="str">
        <x:v>2, 4, 7</x:v>
      </x:c>
      <x:c r="C15" s="13" t="str">
        <x:v>Free PDF</x:v>
      </x:c>
      <x:c r="D15" s="13" t="str">
        <x:v>Coherence Spring Reference Documentation 4.3.1</x:v>
      </x:c>
      <x:c r="E15" s="13" t="str">
        <x:v>Day 2: sections 2 and 4. Day 4: 7.6.1. Day 7: quickstart and cluster/client configuration. 30m per assigned day.</x:v>
      </x:c>
      <x:c r="F15" s="25" t="str">
        <x:v>https://spring.coherence.community/4.3.1/refdocs/reference/pdf/coherence-spring-reference.pdf</x:v>
      </x:c>
      <x:c r="G15" s="13" t="str">
        <x:v>Version-specific reference. Use section titles, not guessed PDF page numbers. See V1/V2 compatibility warning.</x:v>
      </x:c>
      <x:c r="H15" s="2"/>
    </x:row>
    <x:row r="16" ht="58" customHeight="1">
      <x:c r="A16" s="14" t="str">
        <x:v>P3</x:v>
      </x:c>
      <x:c r="B16" s="14" t="str">
        <x:v>3, 5, 6</x:v>
      </x:c>
      <x:c r="C16" s="14" t="str">
        <x:v>Free PDF</x:v>
      </x:c>
      <x:c r="D16" s="14" t="str">
        <x:v>Designing Event-Driven Systems — Ben Stopford</x:v>
      </x:c>
      <x:c r="E16" s="14" t="str">
        <x:v>Day 3: chapter 5. Day 5: chapter 4. Day 6: selected parts of chapters 11 and 12. 30m/day.</x:v>
      </x:c>
      <x:c r="F16" s="26" t="str">
        <x:v>https://benstopford.com/uploads/Designing-Event-Driven-Systems.pdf</x:v>
      </x:c>
      <x:c r="G16" s="14" t="str">
        <x:v>2018 author-hosted free O’Reilly book. Architecture concepts, not current Kafka installation instructions.</x:v>
      </x:c>
      <x:c r="H16" s="2"/>
    </x:row>
    <x:row r="17" ht="44" customHeight="1">
      <x:c r="A17" s="13" t="str">
        <x:v>D1</x:v>
      </x:c>
      <x:c r="B17" s="13" t="str">
        <x:v>1</x:v>
      </x:c>
      <x:c r="C17" s="13" t="str">
        <x:v>Official guide</x:v>
      </x:c>
      <x:c r="D17" s="13" t="str">
        <x:v>Spring: Building a RESTful Web Service</x:v>
      </x:c>
      <x:c r="E17" s="13" t="str">
        <x:v>Controller, DTO and executable JAR workflow. Follow the selected Boot version for dependencies.</x:v>
      </x:c>
      <x:c r="F17" s="25" t="str">
        <x:v>https://spring.io/guides/gs/rest-service/</x:v>
      </x:c>
      <x:c r="G17" s="13" t="str">
        <x:v>Guide may show a newer Boot line than this compatibility lab.</x:v>
      </x:c>
      <x:c r="H17" s="2"/>
    </x:row>
    <x:row r="18" ht="44" customHeight="1">
      <x:c r="A18" s="14" t="str">
        <x:v>D2</x:v>
      </x:c>
      <x:c r="B18" s="14" t="str">
        <x:v>2</x:v>
      </x:c>
      <x:c r="C18" s="14" t="str">
        <x:v>Official docs</x:v>
      </x:c>
      <x:c r="D18" s="14" t="str">
        <x:v>Spring Framework 6.2 cache annotations</x:v>
      </x:c>
      <x:c r="E18" s="14" t="str">
        <x:v>@EnableCaching, @Cacheable, @CachePut, @CacheEvict, keys, proxy behaviour and provider-specific sync.</x:v>
      </x:c>
      <x:c r="F18" s="26" t="str">
        <x:v>https://docs.spring.io/spring-framework/reference/6.2/integration/cache/annotations.html</x:v>
      </x:c>
      <x:c r="G18" s="14" t="str">
        <x:v>TTL belongs to cache provider configuration, not a universal @Cacheable TTL field.</x:v>
      </x:c>
      <x:c r="H18" s="2"/>
    </x:row>
    <x:row r="19" ht="44" customHeight="1">
      <x:c r="A19" s="13" t="str">
        <x:v>D3</x:v>
      </x:c>
      <x:c r="B19" s="13" t="str">
        <x:v>2, 6</x:v>
      </x:c>
      <x:c r="C19" s="13" t="str">
        <x:v>Official docs</x:v>
      </x:c>
      <x:c r="D19" s="13" t="str">
        <x:v>Spring Framework 6.2 transaction-bound events</x:v>
      </x:c>
      <x:c r="E19" s="13" t="str">
        <x:v>AFTER_COMMIT events and transaction timing for cache invalidation.</x:v>
      </x:c>
      <x:c r="F19" s="25" t="str">
        <x:v>https://docs.spring.io/spring-framework/reference/6.2/data-access/transaction/event.html</x:v>
      </x:c>
      <x:c r="G19" s="13" t="str">
        <x:v>In-process after-commit events are not durable delivery. Use the Day 6 outbox for reliability.</x:v>
      </x:c>
      <x:c r="H19" s="2"/>
    </x:row>
    <x:row r="20" ht="58" customHeight="1">
      <x:c r="A20" s="14" t="str">
        <x:v>D4</x:v>
      </x:c>
      <x:c r="B20" s="14" t="str">
        <x:v>3</x:v>
      </x:c>
      <x:c r="C20" s="14" t="str">
        <x:v>Official docs</x:v>
      </x:c>
      <x:c r="D20" s="14" t="str">
        <x:v>Spring Cloud Gateway 4.3 request predicates</x:v>
      </x:c>
      <x:c r="E20" s="14" t="str">
        <x:v>Path and Method predicates, route matching and route ordering.</x:v>
      </x:c>
      <x:c r="F20" s="26" t="str">
        <x:v>https://docs.spring.io/spring-cloud-gateway/reference/4.3/spring-cloud-gateway-server-webflux/request-predicates-factories.html</x:v>
      </x:c>
      <x:c r="G20" s="14" t="str">
        <x:v>Use WebFlux only in router-api. Keep MVC/JPA business services separate.</x:v>
      </x:c>
      <x:c r="H20" s="2"/>
    </x:row>
    <x:row r="21" ht="58" customHeight="1">
      <x:c r="A21" s="13" t="str">
        <x:v>D5</x:v>
      </x:c>
      <x:c r="B21" s="13" t="str">
        <x:v>3</x:v>
      </x:c>
      <x:c r="C21" s="13" t="str">
        <x:v>Official docs</x:v>
      </x:c>
      <x:c r="D21" s="13" t="str">
        <x:v>Spring Cloud Gateway 4.3 StripPrefix</x:v>
      </x:c>
      <x:c r="E21" s="13" t="str">
        <x:v>Remove only /api with StripPrefix=1. Test exact downstream URLs.</x:v>
      </x:c>
      <x:c r="F21" s="25" t="str">
        <x:v>https://docs.spring.io/spring-cloud-gateway/reference/4.3/spring-cloud-gateway-server-webflux/gatewayfilter-factories/stripprefix-factory.html</x:v>
      </x:c>
      <x:c r="G21" s="13" t="str">
        <x:v>RewritePath is an alternative; do not combine both accidentally.</x:v>
      </x:c>
      <x:c r="H21" s="2"/>
    </x:row>
    <x:row r="22" ht="44" customHeight="1">
      <x:c r="A22" s="14" t="str">
        <x:v>D6</x:v>
      </x:c>
      <x:c r="B22" s="14" t="str">
        <x:v>4</x:v>
      </x:c>
      <x:c r="C22" s="14" t="str">
        <x:v>Official docs</x:v>
      </x:c>
      <x:c r="D22" s="14" t="str">
        <x:v>Spring Cloud CircuitBreaker 3.3 Resilience4j</x:v>
      </x:c>
      <x:c r="E22" s="14" t="str">
        <x:v>Blocking versus reactive starter, configuration, time limits and bulkheads.</x:v>
      </x:c>
      <x:c r="F22" s="26" t="str">
        <x:v>https://docs.spring.io/spring-cloud-circuitbreaker/reference/3.3/spring-cloud-circuitbreaker-resilience4j.html</x:v>
      </x:c>
      <x:c r="G22" s="14" t="str">
        <x:v>Use the Cloud BOM. Configure HTTP-client timeouts as well as the breaker.</x:v>
      </x:c>
      <x:c r="H22" s="2"/>
    </x:row>
    <x:row r="23" ht="44" customHeight="1">
      <x:c r="A23" s="13" t="str">
        <x:v>D7</x:v>
      </x:c>
      <x:c r="B23" s="13" t="str">
        <x:v>5</x:v>
      </x:c>
      <x:c r="C23" s="13" t="str">
        <x:v>Official guide</x:v>
      </x:c>
      <x:c r="D23" s="13" t="str">
        <x:v>Apache Kafka quickstart</x:v>
      </x:c>
      <x:c r="E23" s="13" t="str">
        <x:v>KRaft broker, Docker image, topics, producers and consumers.</x:v>
      </x:c>
      <x:c r="F23" s="25" t="str">
        <x:v>https://kafka.apache.org/quickstart/</x:v>
      </x:c>
      <x:c r="G23" s="13" t="str">
        <x:v>Checked 30 Sep 2026: examples use apache/kafka:4.3.1. Single broker is a local lab, not HA.</x:v>
      </x:c>
      <x:c r="H23" s="2"/>
    </x:row>
    <x:row r="24" ht="44" customHeight="1">
      <x:c r="A24" s="14" t="str">
        <x:v>D8</x:v>
      </x:c>
      <x:c r="B24" s="14" t="str">
        <x:v>5–6</x:v>
      </x:c>
      <x:c r="C24" s="14" t="str">
        <x:v>Official docs</x:v>
      </x:c>
      <x:c r="D24" s="14" t="str">
        <x:v>Spring Kafka exception handling</x:v>
      </x:c>
      <x:c r="E24" s="14" t="str">
        <x:v>DefaultErrorHandler, DeadLetterPublishingRecoverer, error classification and DLT handling.</x:v>
      </x:c>
      <x:c r="F24" s="26" t="str">
        <x:v>https://docs.spring.io/spring-kafka/reference/kafka/annotation-error-handling.html</x:v>
      </x:c>
      <x:c r="G24" s="14" t="str">
        <x:v>Select the 3.3 documentation line for this lab. Defaults differ across releases.</x:v>
      </x:c>
      <x:c r="H24" s="2"/>
    </x:row>
    <x:row r="25" ht="44" customHeight="1">
      <x:c r="A25" s="13" t="str">
        <x:v>D9</x:v>
      </x:c>
      <x:c r="B25" s="13" t="str">
        <x:v>6</x:v>
      </x:c>
      <x:c r="C25" s="13" t="str">
        <x:v>Official docs</x:v>
      </x:c>
      <x:c r="D25" s="13" t="str">
        <x:v>Spring Kafka transactions</x:v>
      </x:c>
      <x:c r="E25" s="13" t="str">
        <x:v>Read transaction boundaries and failure cases; contrast Kafka transactions with a database outbox.</x:v>
      </x:c>
      <x:c r="F25" s="25" t="str">
        <x:v>https://docs.spring.io/spring-kafka/reference/kafka/transactions.html</x:v>
      </x:c>
      <x:c r="G25" s="13" t="str">
        <x:v>A DB commit and Kafka commit are not a universal atomic transaction.</x:v>
      </x:c>
      <x:c r="H25" s="2"/>
    </x:row>
    <x:row r="26" ht="44" customHeight="1">
      <x:c r="A26" s="14" t="str">
        <x:v>D10</x:v>
      </x:c>
      <x:c r="B26" s="14" t="str">
        <x:v>7</x:v>
      </x:c>
      <x:c r="C26" s="14" t="str">
        <x:v>Official docs</x:v>
      </x:c>
      <x:c r="D26" s="14" t="str">
        <x:v>Docker Compose startup and shutdown order</x:v>
      </x:c>
      <x:c r="E26" s="14" t="str">
        <x:v>depends_on with service_healthy, health checks and dependency startup.</x:v>
      </x:c>
      <x:c r="F26" s="26" t="str">
        <x:v>https://docs.docker.com/compose/how-tos/startup-order/</x:v>
      </x:c>
      <x:c r="G26" s="14" t="str">
        <x:v>Container started does not necessarily mean service ready.</x:v>
      </x:c>
      <x:c r="H26" s="2"/>
    </x:row>
    <x:row r="27" ht="58" customHeight="1">
      <x:c r="A27" s="13" t="str">
        <x:v>V1</x:v>
      </x:c>
      <x:c r="B27" s="13" t="str">
        <x:v>Setup</x:v>
      </x:c>
      <x:c r="C27" s="13" t="str">
        <x:v>Release source</x:v>
      </x:c>
      <x:c r="D27" s="13" t="str">
        <x:v>Coherence Spring v4.3.1 release POM</x:v>
      </x:c>
      <x:c r="E27" s="13" t="str">
        <x:v>Reference dependency set: Boot 3.5.0, Cloud 2025.0.0, Coherence CE 25.03.1.</x:v>
      </x:c>
      <x:c r="F27" s="25" t="str">
        <x:v>https://github.com/coherence-community/coherence-spring/blob/v4.3.1/pom.xml</x:v>
      </x:c>
      <x:c r="G27" s="13" t="str">
        <x:v>Historical upstream integration baseline. Do not describe it as the latest supported production stack.</x:v>
      </x:c>
      <x:c r="H27" s="2"/>
    </x:row>
    <x:row r="28" ht="58" customHeight="1">
      <x:c r="A28" s="14" t="str">
        <x:v>V2</x:v>
      </x:c>
      <x:c r="B28" s="14" t="str">
        <x:v>Setup</x:v>
      </x:c>
      <x:c r="C28" s="14" t="str">
        <x:v>Official matrix</x:v>
      </x:c>
      <x:c r="D28" s="14" t="str">
        <x:v>Spring Cloud compatibility and support matrix</x:v>
      </x:c>
      <x:c r="E28" s="14" t="str">
        <x:v>Verify Boot/Cloud pairing and support status before choosing production versions.</x:v>
      </x:c>
      <x:c r="F28" s="26" t="str">
        <x:v>https://spring.io/projects/spring-cloud/</x:v>
      </x:c>
      <x:c r="G28" s="14" t="str">
        <x:v>Cloud 2025.0.x is marked outside OSS support. Keep this learning stack local; plan a supported-version upgrade.</x:v>
      </x:c>
      <x:c r="H28" s="2"/>
    </x:row>
    <x:row r="29" ht="44" customHeight="1">
      <x:c r="A29" s="13" t="str">
        <x:v>V3</x:v>
      </x:c>
      <x:c r="B29" s="13" t="str">
        <x:v>2, 7</x:v>
      </x:c>
      <x:c r="C29" s="13" t="str">
        <x:v>Official docs</x:v>
      </x:c>
      <x:c r="D29" s="13" t="str">
        <x:v>Coherence Spring 4.3.1 HTML reference</x:v>
      </x:c>
      <x:c r="E29" s="13" t="str">
        <x:v>Quickstart, cache manager, cluster/client setup and caching examples.</x:v>
      </x:c>
      <x:c r="F29" s="25" t="str">
        <x:v>https://spring.coherence.community/4.3.1/refdocs/reference/htmlsingle/</x:v>
      </x:c>
      <x:c r="G29" s="13" t="str">
        <x:v>The actual release POM is more precise than the older README compatibility table.</x:v>
      </x:c>
      <x:c r="H29" s="2"/>
    </x:row>
  </x:sheetData>
  <x:pageMargins left="0.7" right="0.7" top="0.75" bottom="0.75" header="0.3" footer="0.3"/>
  <x:tableParts count="1">
    <x:tablePart xmlns:r="http://schemas.openxmlformats.org/officeDocument/2006/relationships" r:id="Rda318b32c4114b7b"/>
  </x:tableParts>
</x:worksheet>
</file>